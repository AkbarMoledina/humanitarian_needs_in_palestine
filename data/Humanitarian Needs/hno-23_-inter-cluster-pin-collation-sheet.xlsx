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tas\Documents\PSE\"/>
    </mc:Choice>
  </mc:AlternateContent>
  <xr:revisionPtr revIDLastSave="0" documentId="8_{1927D5E4-3E93-4CAF-B96A-15EA68C9CCBA}" xr6:coauthVersionLast="47" xr6:coauthVersionMax="47" xr10:uidLastSave="{00000000-0000-0000-0000-000000000000}"/>
  <bookViews>
    <workbookView xWindow="-110" yWindow="-110" windowWidth="19420" windowHeight="11500" activeTab="1" xr2:uid="{FBBAE949-CDA5-4CA1-AE8C-C8B37D63ED94}"/>
  </bookViews>
  <sheets>
    <sheet name="HDX_INTER-cluster PIN " sheetId="16" r:id="rId1"/>
    <sheet name="HDX_INTER-cluster PIN _hxl" sheetId="17" r:id="rId2"/>
  </sheets>
  <externalReferences>
    <externalReference r:id="rId3"/>
  </externalReferences>
  <definedNames>
    <definedName name="_xlnm._FilterDatabase" localSheetId="0" hidden="1">'HDX_INTER-cluster PIN '!$L$86:$N$97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V37" i="16" l="1"/>
  <c r="AU37" i="16"/>
  <c r="AT37" i="16"/>
  <c r="AS37" i="16"/>
  <c r="AR37" i="16"/>
  <c r="AQ37" i="16"/>
  <c r="AV36" i="16"/>
  <c r="AU36" i="16"/>
  <c r="AT36" i="16"/>
  <c r="AS36" i="16"/>
  <c r="AR36" i="16"/>
  <c r="AQ36" i="16"/>
  <c r="AV35" i="16"/>
  <c r="AU35" i="16"/>
  <c r="AT35" i="16"/>
  <c r="AS35" i="16"/>
  <c r="AR35" i="16"/>
  <c r="AQ35" i="16"/>
  <c r="AR30" i="16"/>
  <c r="AQ30" i="16"/>
  <c r="AP30" i="16"/>
  <c r="AO30" i="16"/>
  <c r="AN30" i="16"/>
  <c r="AM30" i="16"/>
  <c r="AR29" i="16"/>
  <c r="AQ29" i="16"/>
  <c r="AP29" i="16"/>
  <c r="AO29" i="16"/>
  <c r="AN29" i="16"/>
  <c r="AM29" i="16"/>
  <c r="AR28" i="16"/>
  <c r="AQ28" i="16"/>
  <c r="AP28" i="16"/>
  <c r="AO28" i="16"/>
  <c r="AN28" i="16"/>
  <c r="AM28" i="16"/>
  <c r="AR27" i="16"/>
  <c r="AQ27" i="16"/>
  <c r="AP27" i="16"/>
  <c r="AO27" i="16"/>
  <c r="AN27" i="16"/>
  <c r="AM27" i="16"/>
  <c r="AR26" i="16"/>
  <c r="AQ26" i="16"/>
  <c r="AP26" i="16"/>
  <c r="AO26" i="16"/>
  <c r="AN26" i="16"/>
  <c r="AM26" i="16"/>
  <c r="AR25" i="16"/>
  <c r="AQ25" i="16"/>
  <c r="AP25" i="16"/>
  <c r="AO25" i="16"/>
  <c r="AN25" i="16"/>
  <c r="AM25" i="16"/>
  <c r="AR24" i="16"/>
  <c r="AQ24" i="16"/>
  <c r="AP24" i="16"/>
  <c r="AO24" i="16"/>
  <c r="AN24" i="16"/>
  <c r="AM24" i="16"/>
  <c r="AR23" i="16"/>
  <c r="AQ23" i="16"/>
  <c r="AP23" i="16"/>
  <c r="AO23" i="16"/>
  <c r="AN23" i="16"/>
  <c r="AM23" i="16"/>
  <c r="AR22" i="16"/>
  <c r="AQ22" i="16"/>
  <c r="AP22" i="16"/>
  <c r="AO22" i="16"/>
  <c r="AN22" i="16"/>
  <c r="AM22" i="16"/>
  <c r="AR21" i="16"/>
  <c r="AQ21" i="16"/>
  <c r="AP21" i="16"/>
  <c r="AO21" i="16"/>
  <c r="AN21" i="16"/>
  <c r="AM21" i="16"/>
  <c r="AA57" i="16" l="1"/>
  <c r="Z57" i="16"/>
  <c r="Y57" i="16"/>
  <c r="X57" i="16"/>
  <c r="W57" i="16"/>
  <c r="V57" i="16"/>
  <c r="AA56" i="16"/>
  <c r="Z56" i="16"/>
  <c r="Y56" i="16"/>
  <c r="X56" i="16"/>
  <c r="W56" i="16"/>
  <c r="V56" i="16"/>
  <c r="AA55" i="16"/>
  <c r="Z55" i="16"/>
  <c r="Y55" i="16"/>
  <c r="X55" i="16"/>
  <c r="W55" i="16"/>
  <c r="V55" i="16"/>
  <c r="AA54" i="16"/>
  <c r="Z54" i="16"/>
  <c r="Y54" i="16"/>
  <c r="X54" i="16"/>
  <c r="W54" i="16"/>
  <c r="V54" i="16"/>
  <c r="AA53" i="16"/>
  <c r="Z53" i="16"/>
  <c r="Y53" i="16"/>
  <c r="X53" i="16"/>
  <c r="W53" i="16"/>
  <c r="V53" i="16"/>
  <c r="AA52" i="16"/>
  <c r="Z52" i="16"/>
  <c r="Y52" i="16"/>
  <c r="X52" i="16"/>
  <c r="W52" i="16"/>
  <c r="V52" i="16"/>
  <c r="AA51" i="16"/>
  <c r="Z51" i="16"/>
  <c r="Y51" i="16"/>
  <c r="X51" i="16"/>
  <c r="W51" i="16"/>
  <c r="V51" i="16"/>
  <c r="AA50" i="16"/>
  <c r="Z50" i="16"/>
  <c r="Y50" i="16"/>
  <c r="X50" i="16"/>
  <c r="W50" i="16"/>
  <c r="V50" i="16"/>
  <c r="AA49" i="16"/>
  <c r="Z49" i="16"/>
  <c r="Y49" i="16"/>
  <c r="X49" i="16"/>
  <c r="W49" i="16"/>
  <c r="V49" i="16"/>
  <c r="AA48" i="16"/>
  <c r="Z48" i="16"/>
  <c r="Y48" i="16"/>
  <c r="X48" i="16"/>
  <c r="W48" i="16"/>
  <c r="V48" i="16"/>
  <c r="AA47" i="16"/>
  <c r="Z47" i="16"/>
  <c r="Y47" i="16"/>
  <c r="X47" i="16"/>
  <c r="W47" i="16"/>
  <c r="V47" i="16"/>
  <c r="AA46" i="16"/>
  <c r="Z46" i="16"/>
  <c r="Y46" i="16"/>
  <c r="X46" i="16"/>
  <c r="W46" i="16"/>
  <c r="V46" i="16"/>
  <c r="AA45" i="16"/>
  <c r="Z45" i="16"/>
  <c r="Y45" i="16"/>
  <c r="X45" i="16"/>
  <c r="W45" i="16"/>
  <c r="V45" i="16"/>
  <c r="AA44" i="16"/>
  <c r="Z44" i="16"/>
  <c r="Y44" i="16"/>
  <c r="X44" i="16"/>
  <c r="W44" i="16"/>
  <c r="V44" i="16"/>
  <c r="AA43" i="16"/>
  <c r="Z43" i="16"/>
  <c r="Y43" i="16"/>
  <c r="X43" i="16"/>
  <c r="W43" i="16"/>
  <c r="V43" i="16"/>
  <c r="AA42" i="16"/>
  <c r="Z42" i="16"/>
  <c r="Y42" i="16"/>
  <c r="X42" i="16"/>
  <c r="W42" i="16"/>
  <c r="V42" i="16"/>
  <c r="AA37" i="16"/>
  <c r="AH37" i="16" s="1"/>
  <c r="Z37" i="16"/>
  <c r="AH36" i="16"/>
  <c r="AB36" i="16"/>
  <c r="AC36" i="16" s="1"/>
  <c r="F36" i="16"/>
  <c r="AH35" i="16"/>
  <c r="AB35" i="16"/>
  <c r="F35" i="16"/>
  <c r="F32" i="16"/>
  <c r="AL30" i="16"/>
  <c r="R30" i="16"/>
  <c r="O30" i="16"/>
  <c r="N30" i="16"/>
  <c r="F30" i="16"/>
  <c r="F37" i="16" s="1"/>
  <c r="AK37" i="16" s="1"/>
  <c r="AD29" i="16"/>
  <c r="AE29" i="16" s="1"/>
  <c r="AG29" i="16" s="1"/>
  <c r="M29" i="16"/>
  <c r="L29" i="16"/>
  <c r="K29" i="16"/>
  <c r="J29" i="16"/>
  <c r="I29" i="16"/>
  <c r="H29" i="16"/>
  <c r="G29" i="16"/>
  <c r="AD28" i="16"/>
  <c r="AE28" i="16" s="1"/>
  <c r="AG28" i="16" s="1"/>
  <c r="M28" i="16"/>
  <c r="L28" i="16"/>
  <c r="K28" i="16"/>
  <c r="J28" i="16"/>
  <c r="I28" i="16"/>
  <c r="H28" i="16"/>
  <c r="G28" i="16"/>
  <c r="AD27" i="16"/>
  <c r="AE27" i="16" s="1"/>
  <c r="AG27" i="16" s="1"/>
  <c r="M27" i="16"/>
  <c r="L27" i="16"/>
  <c r="K27" i="16"/>
  <c r="J27" i="16"/>
  <c r="I27" i="16"/>
  <c r="H27" i="16"/>
  <c r="G27" i="16"/>
  <c r="AD26" i="16"/>
  <c r="AE26" i="16" s="1"/>
  <c r="AG26" i="16" s="1"/>
  <c r="M26" i="16"/>
  <c r="L26" i="16"/>
  <c r="K26" i="16"/>
  <c r="J26" i="16"/>
  <c r="I26" i="16"/>
  <c r="H26" i="16"/>
  <c r="G26" i="16"/>
  <c r="AD25" i="16"/>
  <c r="AE25" i="16" s="1"/>
  <c r="AG25" i="16" s="1"/>
  <c r="M25" i="16"/>
  <c r="L25" i="16"/>
  <c r="K25" i="16"/>
  <c r="J25" i="16"/>
  <c r="I25" i="16"/>
  <c r="H25" i="16"/>
  <c r="G25" i="16"/>
  <c r="AD24" i="16"/>
  <c r="AE24" i="16" s="1"/>
  <c r="AG24" i="16" s="1"/>
  <c r="M24" i="16"/>
  <c r="L24" i="16"/>
  <c r="K24" i="16"/>
  <c r="J24" i="16"/>
  <c r="I24" i="16"/>
  <c r="H24" i="16"/>
  <c r="G24" i="16"/>
  <c r="AD23" i="16"/>
  <c r="AE23" i="16" s="1"/>
  <c r="M23" i="16"/>
  <c r="L23" i="16"/>
  <c r="K23" i="16"/>
  <c r="J23" i="16"/>
  <c r="I23" i="16"/>
  <c r="H23" i="16"/>
  <c r="G23" i="16"/>
  <c r="AD22" i="16"/>
  <c r="AE22" i="16" s="1"/>
  <c r="AG22" i="16" s="1"/>
  <c r="M22" i="16"/>
  <c r="L22" i="16"/>
  <c r="K22" i="16"/>
  <c r="J22" i="16"/>
  <c r="I22" i="16"/>
  <c r="H22" i="16"/>
  <c r="G22" i="16"/>
  <c r="AD21" i="16"/>
  <c r="M21" i="16"/>
  <c r="L21" i="16"/>
  <c r="K21" i="16"/>
  <c r="J21" i="16"/>
  <c r="I21" i="16"/>
  <c r="H21" i="16"/>
  <c r="G21" i="16"/>
  <c r="G35" i="16" l="1"/>
  <c r="G30" i="16"/>
  <c r="AK21" i="16"/>
  <c r="W21" i="16"/>
  <c r="V21" i="16"/>
  <c r="U21" i="16"/>
  <c r="T21" i="16"/>
  <c r="S21" i="16"/>
  <c r="AD30" i="16"/>
  <c r="AE21" i="16"/>
  <c r="AK22" i="16"/>
  <c r="AI22" i="16"/>
  <c r="AJ22" i="16" s="1"/>
  <c r="W22" i="16"/>
  <c r="V22" i="16"/>
  <c r="U22" i="16"/>
  <c r="T22" i="16"/>
  <c r="S22" i="16"/>
  <c r="AH22" i="16"/>
  <c r="G36" i="16"/>
  <c r="H36" i="16" s="1"/>
  <c r="AK23" i="16"/>
  <c r="W23" i="16"/>
  <c r="V23" i="16"/>
  <c r="U23" i="16"/>
  <c r="T23" i="16"/>
  <c r="S23" i="16"/>
  <c r="AF36" i="16"/>
  <c r="AG23" i="16"/>
  <c r="AK24" i="16"/>
  <c r="AI24" i="16"/>
  <c r="AJ24" i="16" s="1"/>
  <c r="W24" i="16"/>
  <c r="V24" i="16"/>
  <c r="U24" i="16"/>
  <c r="T24" i="16"/>
  <c r="S24" i="16"/>
  <c r="AH24" i="16"/>
  <c r="AK25" i="16"/>
  <c r="AI25" i="16"/>
  <c r="AJ25" i="16" s="1"/>
  <c r="W25" i="16"/>
  <c r="V25" i="16"/>
  <c r="U25" i="16"/>
  <c r="T25" i="16"/>
  <c r="S25" i="16"/>
  <c r="AH25" i="16"/>
  <c r="AK26" i="16"/>
  <c r="AI26" i="16"/>
  <c r="AJ26" i="16" s="1"/>
  <c r="W26" i="16"/>
  <c r="V26" i="16"/>
  <c r="U26" i="16"/>
  <c r="T26" i="16"/>
  <c r="S26" i="16"/>
  <c r="AH26" i="16"/>
  <c r="AK27" i="16"/>
  <c r="AI27" i="16"/>
  <c r="AJ27" i="16" s="1"/>
  <c r="W27" i="16"/>
  <c r="V27" i="16"/>
  <c r="U27" i="16"/>
  <c r="T27" i="16"/>
  <c r="S27" i="16"/>
  <c r="AH27" i="16"/>
  <c r="AK28" i="16"/>
  <c r="AI28" i="16"/>
  <c r="AJ28" i="16" s="1"/>
  <c r="W28" i="16"/>
  <c r="V28" i="16"/>
  <c r="U28" i="16"/>
  <c r="T28" i="16"/>
  <c r="S28" i="16"/>
  <c r="AH28" i="16"/>
  <c r="AK29" i="16"/>
  <c r="AI29" i="16"/>
  <c r="AJ29" i="16" s="1"/>
  <c r="W29" i="16"/>
  <c r="V29" i="16"/>
  <c r="U29" i="16"/>
  <c r="T29" i="16"/>
  <c r="S29" i="16"/>
  <c r="AH29" i="16"/>
  <c r="R39" i="16"/>
  <c r="Q39" i="16"/>
  <c r="P39" i="16"/>
  <c r="AK35" i="16"/>
  <c r="AB37" i="16"/>
  <c r="AC35" i="16"/>
  <c r="R40" i="16"/>
  <c r="Q40" i="16"/>
  <c r="P40" i="16"/>
  <c r="AK36" i="16"/>
  <c r="AB38" i="16" l="1"/>
  <c r="AC37" i="16"/>
  <c r="AH23" i="16"/>
  <c r="AI23" i="16"/>
  <c r="AI36" i="16"/>
  <c r="AJ36" i="16" s="1"/>
  <c r="AM36" i="16" s="1"/>
  <c r="AG36" i="16"/>
  <c r="S36" i="16"/>
  <c r="S38" i="16" s="1"/>
  <c r="T36" i="16"/>
  <c r="T38" i="16" s="1"/>
  <c r="U36" i="16"/>
  <c r="U38" i="16" s="1"/>
  <c r="V36" i="16"/>
  <c r="V38" i="16" s="1"/>
  <c r="W36" i="16"/>
  <c r="W38" i="16" s="1"/>
  <c r="AF35" i="16"/>
  <c r="AE30" i="16"/>
  <c r="AG21" i="16"/>
  <c r="S35" i="16"/>
  <c r="S37" i="16" s="1"/>
  <c r="S30" i="16"/>
  <c r="T35" i="16"/>
  <c r="T37" i="16" s="1"/>
  <c r="T30" i="16"/>
  <c r="U35" i="16"/>
  <c r="U37" i="16" s="1"/>
  <c r="U30" i="16"/>
  <c r="V35" i="16"/>
  <c r="V37" i="16" s="1"/>
  <c r="V30" i="16"/>
  <c r="W35" i="16"/>
  <c r="W37" i="16" s="1"/>
  <c r="W30" i="16"/>
  <c r="AK30" i="16"/>
  <c r="AC30" i="16"/>
  <c r="Z30" i="16"/>
  <c r="X30" i="16"/>
  <c r="H30" i="16"/>
  <c r="G37" i="16"/>
  <c r="H37" i="16" s="1"/>
  <c r="H35" i="16"/>
  <c r="S32" i="16" l="1"/>
  <c r="S31" i="16"/>
  <c r="AH21" i="16"/>
  <c r="AI21" i="16"/>
  <c r="AG30" i="16"/>
  <c r="AF30" i="16"/>
  <c r="AF37" i="16"/>
  <c r="AI35" i="16"/>
  <c r="AJ35" i="16" s="1"/>
  <c r="AM35" i="16" s="1"/>
  <c r="AG35" i="16"/>
  <c r="AL36" i="16"/>
  <c r="AJ23" i="16"/>
  <c r="AF38" i="16" l="1"/>
  <c r="AI37" i="16"/>
  <c r="AJ37" i="16" s="1"/>
  <c r="AG37" i="16"/>
  <c r="AG31" i="16"/>
  <c r="AH30" i="16"/>
  <c r="AL35" i="16"/>
  <c r="AL37" i="16" s="1"/>
  <c r="AM37" i="16" s="1"/>
  <c r="AI30" i="16"/>
  <c r="AJ21" i="16"/>
  <c r="W31" i="16"/>
  <c r="V31" i="16"/>
  <c r="U31" i="16"/>
  <c r="T31" i="16"/>
  <c r="AI31" i="16" l="1"/>
  <c r="AJ30" i="1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tc={BBCF5DA1-0B97-40E0-A684-6443EE3DDBDB}</author>
    <author>tc={57A6CCE0-B0D4-486C-A491-CDCF08B53C12}</author>
    <author>tc={65DCD507-9069-4CAD-A241-3A09C64AF7C1}</author>
    <author>tc={F4D0761F-C7A8-46C1-9562-C34644006EB2}</author>
    <author>tc={1DBDD107-E7A2-4CAC-9F33-56E1BD138B50}</author>
    <author>tc={170BFE7C-7900-4438-8677-923BAD93D39D}</author>
    <author>tc={C76AE840-02AA-4166-ACBD-0EF281B908F7}</author>
  </authors>
  <commentList>
    <comment ref="AH30" authorId="0" shapeId="0" xr:uid="{BBCF5DA1-0B97-40E0-A684-6443EE3DDBDB}">
      <text>
        <t>[Threaded comment]
Your version of Excel allows you to read this threaded comment; however, any edits to it will get removed if the file is opened in a newer version of Excel. Learn more: https://go.microsoft.com/fwlink/?linkid=870924
Comment:
    Percentages are calculated out of total PIN</t>
      </text>
    </comment>
    <comment ref="H34" authorId="1" shapeId="0" xr:uid="{57A6CCE0-B0D4-486C-A491-CDCF08B53C12}">
      <text>
        <t>[Threaded comment]
Your version of Excel allows you to read this threaded comment; however, any edits to it will get removed if the file is opened in a newer version of Excel. Learn more: https://go.microsoft.com/fwlink/?linkid=870924
Comment:
    Pin % of Population</t>
      </text>
    </comment>
    <comment ref="C50" authorId="2" shapeId="0" xr:uid="{65DCD507-9069-4CAD-A241-3A09C64AF7C1}">
      <text>
        <t>[Threaded comment]
Your version of Excel allows you to read this threaded comment; however, any edits to it will get removed if the file is opened in a newer version of Excel. Learn more: https://go.microsoft.com/fwlink/?linkid=870924
Comment:
    including EJ</t>
      </text>
    </comment>
    <comment ref="E50" authorId="3" shapeId="0" xr:uid="{F4D0761F-C7A8-46C1-9562-C34644006EB2}">
      <text>
        <t>[Threaded comment]
Your version of Excel allows you to read this threaded comment; however, any edits to it will get removed if the file is opened in a newer version of Excel. Learn more: https://go.microsoft.com/fwlink/?linkid=870924
Comment:
    Difference of Are C and East Jerusalem was estimated of 4207 people and fixed</t>
      </text>
    </comment>
    <comment ref="K50" authorId="4" shapeId="0" xr:uid="{1DBDD107-E7A2-4CAC-9F33-56E1BD138B50}">
      <text>
        <t>[Threaded comment]
Your version of Excel allows you to read this threaded comment; however, any edits to it will get removed if the file is opened in a newer version of Excel. Learn more: https://go.microsoft.com/fwlink/?linkid=870924
Comment:
    Including EJ</t>
      </text>
    </comment>
    <comment ref="L87" authorId="5" shapeId="0" xr:uid="{170BFE7C-7900-4438-8677-923BAD93D39D}">
      <text>
        <t>[Threaded comment]
Your version of Excel allows you to read this threaded comment; however, any edits to it will get removed if the file is opened in a newer version of Excel. Learn more: https://go.microsoft.com/fwlink/?linkid=870924
Comment:
    including EJ</t>
      </text>
    </comment>
    <comment ref="I95" authorId="6" shapeId="0" xr:uid="{C76AE840-02AA-4166-ACBD-0EF281B908F7}">
      <text>
        <t>[Threaded comment]
Your version of Excel allows you to read this threaded comment; however, any edits to it will get removed if the file is opened in a newer version of Excel. Learn more: https://go.microsoft.com/fwlink/?linkid=870924
Comment:
    including EJ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tc={27425DAE-F9A2-426A-AE52-834C5EF7F947}</author>
    <author>tc={452D1AB5-AC4E-4EC2-908C-A23B84BB3C95}</author>
  </authors>
  <commentList>
    <comment ref="B11" authorId="0" shapeId="0" xr:uid="{27425DAE-F9A2-426A-AE52-834C5EF7F947}">
      <text>
        <t>[Threaded comment]
Your version of Excel allows you to read this threaded comment; however, any edits to it will get removed if the file is opened in a newer version of Excel. Learn more: https://go.microsoft.com/fwlink/?linkid=870924
Comment:
    including EJ</t>
      </text>
    </comment>
    <comment ref="D11" authorId="1" shapeId="0" xr:uid="{452D1AB5-AC4E-4EC2-908C-A23B84BB3C95}">
      <text>
        <t>[Threaded comment]
Your version of Excel allows you to read this threaded comment; however, any edits to it will get removed if the file is opened in a newer version of Excel. Learn more: https://go.microsoft.com/fwlink/?linkid=870924
Comment:
    Difference of Are C and East Jerusalem was estimated of 4207 people and fixed</t>
      </text>
    </comment>
  </commentList>
</comments>
</file>

<file path=xl/sharedStrings.xml><?xml version="1.0" encoding="utf-8"?>
<sst xmlns="http://schemas.openxmlformats.org/spreadsheetml/2006/main" count="379" uniqueCount="169">
  <si>
    <t>Inter-sectoral severity scores</t>
  </si>
  <si>
    <t>Cross-sectoral (Disability)</t>
  </si>
  <si>
    <t>Cross-sectoral (AAP)</t>
  </si>
  <si>
    <t>Health</t>
  </si>
  <si>
    <t>Health/Protection</t>
  </si>
  <si>
    <t>Protection</t>
  </si>
  <si>
    <t>Shelter</t>
  </si>
  <si>
    <t>WASH</t>
  </si>
  <si>
    <t>% of HHs with an inter-sectoral severity score of 3</t>
  </si>
  <si>
    <t>% of HHs with an inter-sectoral severity score of 4</t>
  </si>
  <si>
    <t>% of HHs with an inter-sectoral severity score of 5</t>
  </si>
  <si>
    <t>Percentage of households reporting at least one member of their household having a disability</t>
  </si>
  <si>
    <t>% HH satisfied with aid received 
% HH with access/knowledge of complaint mechanisms</t>
  </si>
  <si>
    <t>Percentage households that can access primary healthcare within 30 minutes' walk from dwellings and percentage facing access barriers when trying to access health services</t>
  </si>
  <si>
    <t>Percentage of households that reported any member of their household having a chronic illness</t>
  </si>
  <si>
    <t>% of HH where at least one member (SADD) is reporting signs of distress (self-diagnosed)</t>
  </si>
  <si>
    <t>% of girls / women who avoid areas because they feel unsafe</t>
  </si>
  <si>
    <t>% of HHs reporting safety or security concerns for women and girls</t>
  </si>
  <si>
    <t>% of households reporting the presence of children engaged in child labour outside of the home in the past 30 days</t>
  </si>
  <si>
    <t>Average number of household members per room</t>
  </si>
  <si>
    <t>% of HHs whose shelter has any kind of damage or defects</t>
  </si>
  <si>
    <t>% of HHs having access to a sufficient quantity of water for drinking, cooking, bathing, washing or other domestic use</t>
  </si>
  <si>
    <t>numerical</t>
  </si>
  <si>
    <t>categorical</t>
  </si>
  <si>
    <t>hno_severity_3</t>
  </si>
  <si>
    <t>hno_severity_4</t>
  </si>
  <si>
    <t>hno_severity_5</t>
  </si>
  <si>
    <t>s_1.3</t>
  </si>
  <si>
    <t>s_1.4</t>
  </si>
  <si>
    <t>s_1.5</t>
  </si>
  <si>
    <t>s_2.3</t>
  </si>
  <si>
    <t>s_2.4</t>
  </si>
  <si>
    <t>s_3.3</t>
  </si>
  <si>
    <t>s_3.4</t>
  </si>
  <si>
    <t>s_4.3</t>
  </si>
  <si>
    <t>s_6.3</t>
  </si>
  <si>
    <t>s_6.4</t>
  </si>
  <si>
    <t>s_6.5</t>
  </si>
  <si>
    <t>s_7.3</t>
  </si>
  <si>
    <t>s_7.4</t>
  </si>
  <si>
    <t>s_7.5</t>
  </si>
  <si>
    <t>s_8.3</t>
  </si>
  <si>
    <t>s_8.4</t>
  </si>
  <si>
    <t>s_8.5</t>
  </si>
  <si>
    <t>s_9.3</t>
  </si>
  <si>
    <t>s_9.4</t>
  </si>
  <si>
    <t>s_9.5</t>
  </si>
  <si>
    <t>s_10.4</t>
  </si>
  <si>
    <t>s_10.3</t>
  </si>
  <si>
    <t>s_10.5</t>
  </si>
  <si>
    <t>s_11.3</t>
  </si>
  <si>
    <t>s_11.4</t>
  </si>
  <si>
    <t>s_12.3</t>
  </si>
  <si>
    <t>s4pin</t>
  </si>
  <si>
    <t>s6pin</t>
  </si>
  <si>
    <t>s7pin</t>
  </si>
  <si>
    <t>s8pin</t>
  </si>
  <si>
    <t>s9pin</t>
  </si>
  <si>
    <t>s10pin</t>
  </si>
  <si>
    <t>s11pin</t>
  </si>
  <si>
    <t>s12pin</t>
  </si>
  <si>
    <t>s13pin</t>
  </si>
  <si>
    <t>s14pin</t>
  </si>
  <si>
    <t>s15pin</t>
  </si>
  <si>
    <t>s16pin</t>
  </si>
  <si>
    <t>s17pin</t>
  </si>
  <si>
    <t>s18pin</t>
  </si>
  <si>
    <t>People in need dissagregation by three administretive levels</t>
  </si>
  <si>
    <t>Vulnerable Groups</t>
  </si>
  <si>
    <t>ID</t>
  </si>
  <si>
    <t>Location</t>
  </si>
  <si>
    <t>HNO Strata</t>
  </si>
  <si>
    <t>POP 2022</t>
  </si>
  <si>
    <t>POP 2023</t>
  </si>
  <si>
    <t>PIN</t>
  </si>
  <si>
    <t>Pin%</t>
  </si>
  <si>
    <t>Severity 1</t>
  </si>
  <si>
    <t>Severity 2</t>
  </si>
  <si>
    <t>Severity 3</t>
  </si>
  <si>
    <t>Severity 4</t>
  </si>
  <si>
    <t>Severity 5</t>
  </si>
  <si>
    <t>PIN_S1</t>
  </si>
  <si>
    <t>PIN_S2</t>
  </si>
  <si>
    <t>PIN_S3</t>
  </si>
  <si>
    <t>PIN_S4</t>
  </si>
  <si>
    <t>PIN_S5</t>
  </si>
  <si>
    <t>Boys</t>
  </si>
  <si>
    <t>Girls</t>
  </si>
  <si>
    <t>Men</t>
  </si>
  <si>
    <t>Women</t>
  </si>
  <si>
    <t>Elderly</t>
  </si>
  <si>
    <t>FHHs_Pin%</t>
  </si>
  <si>
    <t>FHHs_PIN</t>
  </si>
  <si>
    <t>MaleHHs_Pin%</t>
  </si>
  <si>
    <t>MaleHHs_PIN</t>
  </si>
  <si>
    <t>Refugee_Inside _Pin</t>
  </si>
  <si>
    <t>Refugee_Inside _Pin%</t>
  </si>
  <si>
    <t>Temp</t>
  </si>
  <si>
    <t>Refugee_Outside _Pin</t>
  </si>
  <si>
    <t>Refugee_Outside _Pin%</t>
  </si>
  <si>
    <t>Overall _Refugees Pin</t>
  </si>
  <si>
    <t>Refugees Pin%</t>
  </si>
  <si>
    <t>Non-Regugees Pin</t>
  </si>
  <si>
    <t>Non-Regugees Pin%</t>
  </si>
  <si>
    <t>PWD Pin%</t>
  </si>
  <si>
    <t>PWDPin</t>
  </si>
  <si>
    <t xml:space="preserve">Education </t>
  </si>
  <si>
    <t>FSS</t>
  </si>
  <si>
    <t>West Bank</t>
  </si>
  <si>
    <t>Area A_B</t>
  </si>
  <si>
    <t>Area C</t>
  </si>
  <si>
    <t>Gaza</t>
  </si>
  <si>
    <t>Dier al Balah</t>
  </si>
  <si>
    <t>East_Jerusalem</t>
  </si>
  <si>
    <t>H2</t>
  </si>
  <si>
    <t>Khan Yunis</t>
  </si>
  <si>
    <t>North Gaza</t>
  </si>
  <si>
    <t>Rafah</t>
  </si>
  <si>
    <t>Region</t>
  </si>
  <si>
    <t>Pop_23</t>
  </si>
  <si>
    <t>Pin_23</t>
  </si>
  <si>
    <t>S1 %</t>
  </si>
  <si>
    <t>S2 %</t>
  </si>
  <si>
    <t>S3 %</t>
  </si>
  <si>
    <t>S4 %</t>
  </si>
  <si>
    <t>S5 %</t>
  </si>
  <si>
    <t>Girs</t>
  </si>
  <si>
    <t>FHHs_Pop</t>
  </si>
  <si>
    <t>FHHs_Pin</t>
  </si>
  <si>
    <t>Regugee_Inside_Pop_23</t>
  </si>
  <si>
    <t>Regugee_outside_pop23</t>
  </si>
  <si>
    <t>Regugee_outside_pin%</t>
  </si>
  <si>
    <t>Regugee_outside_pin</t>
  </si>
  <si>
    <t>Refugees_Pop23</t>
  </si>
  <si>
    <t>Refugees_Pin</t>
  </si>
  <si>
    <t>Refugees_Pin%</t>
  </si>
  <si>
    <t>None-Refugee_Pop23</t>
  </si>
  <si>
    <t>None_RefugeePin23</t>
  </si>
  <si>
    <t>None-Refugee_Pin%</t>
  </si>
  <si>
    <t>PWD_Pop23</t>
  </si>
  <si>
    <t>PWD_Pin%</t>
  </si>
  <si>
    <t>PWD_Pin</t>
  </si>
  <si>
    <t>Gaza Strip</t>
  </si>
  <si>
    <t>Palestine</t>
  </si>
  <si>
    <t>Governorate</t>
  </si>
  <si>
    <t>Population 2022 (PCBS)</t>
  </si>
  <si>
    <t>Population 2023 (PCBS)</t>
  </si>
  <si>
    <t>Pop_OSLO Area C</t>
  </si>
  <si>
    <t>Pop_OSLO AreaA/B</t>
  </si>
  <si>
    <t>PIN_Gov</t>
  </si>
  <si>
    <t>PIN_Area C</t>
  </si>
  <si>
    <t>PIN_Area AB</t>
  </si>
  <si>
    <t>Severity%_1</t>
  </si>
  <si>
    <t>Jenin</t>
  </si>
  <si>
    <t>Tubas</t>
  </si>
  <si>
    <t>Tulkaram</t>
  </si>
  <si>
    <t>Nablus</t>
  </si>
  <si>
    <t>Qalqiliya</t>
  </si>
  <si>
    <t>Salfit</t>
  </si>
  <si>
    <t>Ramallah and Al-Bireh</t>
  </si>
  <si>
    <t>Jericho</t>
  </si>
  <si>
    <t>Jerusalem 2</t>
  </si>
  <si>
    <t>Bethlehem</t>
  </si>
  <si>
    <t>Hebron</t>
  </si>
  <si>
    <t>West bank</t>
  </si>
  <si>
    <t>#adm1+name</t>
  </si>
  <si>
    <t>#adm2+name</t>
  </si>
  <si>
    <t>#inneed+total</t>
  </si>
  <si>
    <t>#inneed+pct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</si>
</sst>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%"/>
    <numFmt numFmtId="165" formatCode="_(* #,##0_);_(* \(#,##0\);_(* &quot;-&quot;??_);_(@_)"/>
    <numFmt numFmtId="166" formatCode="_-* #,##0_-;\-* #,##0_-;_-* &quot;-&quot;??_-;_-@_-"/>
  </numFmts>
  <fonts count="1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2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name val="Times New Roman"/>
      <family val="1"/>
    </font>
    <font>
      <sz val="11"/>
      <color theme="1"/>
      <name val="Calibri"/>
      <family val="2"/>
      <scheme val="minor"/>
    </font>
    <font>
      <sz val="9"/>
      <color indexed="81"/>
      <name val="Tahoma"/>
      <charset val="1"/>
    </font>
  </fonts>
  <fills count="10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1" fillId="2" borderId="1" applyNumberFormat="0" applyAlignment="0" applyProtection="0"/>
    <xf numFmtId="0" fontId="3" fillId="3" borderId="0" applyNumberFormat="0" applyBorder="0" applyAlignment="0" applyProtection="0"/>
    <xf numFmtId="0" fontId="4" fillId="0" borderId="0"/>
    <xf numFmtId="0" fontId="8" fillId="0" borderId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15" fillId="0" borderId="0"/>
    <xf numFmtId="43" fontId="16" fillId="0" borderId="0" applyFont="0" applyFill="0" applyBorder="0" applyAlignment="0" applyProtection="0"/>
  </cellStyleXfs>
  <cellXfs count="135">
    <xf numFmtId="0" fontId="0" fillId="0" borderId="0" xfId="0"/>
    <xf numFmtId="0" fontId="4" fillId="0" borderId="0" xfId="3"/>
    <xf numFmtId="0" fontId="7" fillId="0" borderId="0" xfId="3" applyFont="1" applyAlignment="1">
      <alignment horizontal="center" vertical="center"/>
    </xf>
    <xf numFmtId="0" fontId="9" fillId="4" borderId="2" xfId="4" applyFont="1" applyFill="1" applyBorder="1" applyAlignment="1">
      <alignment horizontal="center" vertical="center"/>
    </xf>
    <xf numFmtId="0" fontId="9" fillId="4" borderId="8" xfId="4" applyFont="1" applyFill="1" applyBorder="1" applyAlignment="1">
      <alignment horizontal="center" vertical="center"/>
    </xf>
    <xf numFmtId="0" fontId="9" fillId="4" borderId="3" xfId="4" applyFont="1" applyFill="1" applyBorder="1" applyAlignment="1">
      <alignment horizontal="center" vertical="center"/>
    </xf>
    <xf numFmtId="0" fontId="9" fillId="4" borderId="2" xfId="3" applyFont="1" applyFill="1" applyBorder="1" applyAlignment="1">
      <alignment horizontal="center" vertical="center" wrapText="1"/>
    </xf>
    <xf numFmtId="0" fontId="9" fillId="4" borderId="3" xfId="3" applyFont="1" applyFill="1" applyBorder="1" applyAlignment="1">
      <alignment horizontal="center" vertical="center" wrapText="1"/>
    </xf>
    <xf numFmtId="0" fontId="9" fillId="5" borderId="3" xfId="3" applyFont="1" applyFill="1" applyBorder="1" applyAlignment="1">
      <alignment horizontal="center" vertical="center" wrapText="1"/>
    </xf>
    <xf numFmtId="0" fontId="9" fillId="5" borderId="4" xfId="3" applyFont="1" applyFill="1" applyBorder="1" applyAlignment="1">
      <alignment horizontal="center" vertical="center" wrapText="1"/>
    </xf>
    <xf numFmtId="0" fontId="2" fillId="6" borderId="9" xfId="3" applyFont="1" applyFill="1" applyBorder="1" applyAlignment="1">
      <alignment horizontal="center" vertical="center"/>
    </xf>
    <xf numFmtId="0" fontId="9" fillId="4" borderId="9" xfId="4" applyFont="1" applyFill="1" applyBorder="1" applyAlignment="1">
      <alignment horizontal="center" vertical="center" wrapText="1"/>
    </xf>
    <xf numFmtId="0" fontId="9" fillId="4" borderId="10" xfId="4" applyFont="1" applyFill="1" applyBorder="1" applyAlignment="1">
      <alignment horizontal="center" vertical="center" wrapText="1"/>
    </xf>
    <xf numFmtId="0" fontId="9" fillId="4" borderId="11" xfId="4" applyFont="1" applyFill="1" applyBorder="1" applyAlignment="1">
      <alignment horizontal="center" vertical="center" wrapText="1"/>
    </xf>
    <xf numFmtId="0" fontId="9" fillId="4" borderId="4" xfId="4" applyFont="1" applyFill="1" applyBorder="1" applyAlignment="1">
      <alignment horizontal="center" vertical="center" wrapText="1"/>
    </xf>
    <xf numFmtId="0" fontId="9" fillId="4" borderId="8" xfId="4" applyFont="1" applyFill="1" applyBorder="1" applyAlignment="1">
      <alignment horizontal="center" vertical="center" wrapText="1"/>
    </xf>
    <xf numFmtId="0" fontId="9" fillId="5" borderId="2" xfId="4" applyFont="1" applyFill="1" applyBorder="1" applyAlignment="1">
      <alignment horizontal="center" vertical="center" wrapText="1"/>
    </xf>
    <xf numFmtId="0" fontId="9" fillId="4" borderId="2" xfId="4" applyFont="1" applyFill="1" applyBorder="1" applyAlignment="1">
      <alignment horizontal="center" vertical="center" wrapText="1"/>
    </xf>
    <xf numFmtId="0" fontId="9" fillId="5" borderId="2" xfId="3" applyFont="1" applyFill="1" applyBorder="1" applyAlignment="1">
      <alignment horizontal="center" vertical="center" wrapText="1"/>
    </xf>
    <xf numFmtId="0" fontId="9" fillId="4" borderId="12" xfId="3" applyFont="1" applyFill="1" applyBorder="1" applyAlignment="1">
      <alignment horizontal="center" vertical="center" wrapText="1"/>
    </xf>
    <xf numFmtId="0" fontId="9" fillId="0" borderId="0" xfId="3" applyFont="1" applyAlignment="1">
      <alignment horizontal="center" vertical="center"/>
    </xf>
    <xf numFmtId="0" fontId="4" fillId="0" borderId="13" xfId="3" applyBorder="1" applyAlignment="1">
      <alignment horizontal="center" vertical="center"/>
    </xf>
    <xf numFmtId="0" fontId="2" fillId="0" borderId="13" xfId="4" applyFont="1" applyBorder="1"/>
    <xf numFmtId="3" fontId="8" fillId="0" borderId="0" xfId="4" applyNumberFormat="1"/>
    <xf numFmtId="164" fontId="0" fillId="0" borderId="13" xfId="5" applyNumberFormat="1" applyFont="1" applyBorder="1"/>
    <xf numFmtId="164" fontId="0" fillId="0" borderId="0" xfId="5" applyNumberFormat="1" applyFont="1" applyBorder="1"/>
    <xf numFmtId="165" fontId="0" fillId="0" borderId="0" xfId="6" applyNumberFormat="1" applyFont="1" applyBorder="1"/>
    <xf numFmtId="165" fontId="0" fillId="0" borderId="14" xfId="6" applyNumberFormat="1" applyFont="1" applyBorder="1"/>
    <xf numFmtId="165" fontId="0" fillId="0" borderId="0" xfId="6" applyNumberFormat="1" applyFont="1" applyFill="1" applyBorder="1"/>
    <xf numFmtId="164" fontId="0" fillId="0" borderId="15" xfId="5" applyNumberFormat="1" applyFont="1" applyBorder="1"/>
    <xf numFmtId="3" fontId="8" fillId="0" borderId="14" xfId="4" applyNumberFormat="1" applyBorder="1"/>
    <xf numFmtId="3" fontId="2" fillId="0" borderId="13" xfId="4" applyNumberFormat="1" applyFont="1" applyBorder="1"/>
    <xf numFmtId="165" fontId="0" fillId="0" borderId="6" xfId="6" applyNumberFormat="1" applyFont="1" applyBorder="1"/>
    <xf numFmtId="0" fontId="4" fillId="0" borderId="5" xfId="3" applyBorder="1" applyAlignment="1">
      <alignment horizontal="center" vertical="center"/>
    </xf>
    <xf numFmtId="0" fontId="4" fillId="0" borderId="7" xfId="3" applyBorder="1"/>
    <xf numFmtId="0" fontId="4" fillId="0" borderId="5" xfId="3" applyBorder="1"/>
    <xf numFmtId="0" fontId="4" fillId="0" borderId="6" xfId="3" applyBorder="1"/>
    <xf numFmtId="3" fontId="10" fillId="0" borderId="6" xfId="3" applyNumberFormat="1" applyFont="1" applyBorder="1"/>
    <xf numFmtId="165" fontId="10" fillId="5" borderId="12" xfId="6" applyNumberFormat="1" applyFont="1" applyFill="1" applyBorder="1"/>
    <xf numFmtId="164" fontId="10" fillId="7" borderId="12" xfId="5" applyNumberFormat="1" applyFont="1" applyFill="1" applyBorder="1"/>
    <xf numFmtId="164" fontId="10" fillId="7" borderId="12" xfId="5" applyNumberFormat="1" applyFont="1" applyFill="1" applyBorder="1" applyAlignment="1">
      <alignment horizontal="center" vertical="center"/>
    </xf>
    <xf numFmtId="165" fontId="10" fillId="5" borderId="11" xfId="3" applyNumberFormat="1" applyFont="1" applyFill="1" applyBorder="1" applyAlignment="1">
      <alignment horizontal="center" vertical="center"/>
    </xf>
    <xf numFmtId="165" fontId="10" fillId="5" borderId="12" xfId="6" applyNumberFormat="1" applyFont="1" applyFill="1" applyBorder="1" applyAlignment="1">
      <alignment horizontal="center" vertical="center"/>
    </xf>
    <xf numFmtId="165" fontId="10" fillId="7" borderId="12" xfId="6" applyNumberFormat="1" applyFont="1" applyFill="1" applyBorder="1"/>
    <xf numFmtId="3" fontId="2" fillId="5" borderId="13" xfId="4" applyNumberFormat="1" applyFont="1" applyFill="1" applyBorder="1"/>
    <xf numFmtId="3" fontId="2" fillId="5" borderId="16" xfId="4" applyNumberFormat="1" applyFont="1" applyFill="1" applyBorder="1"/>
    <xf numFmtId="43" fontId="4" fillId="0" borderId="0" xfId="3" applyNumberFormat="1"/>
    <xf numFmtId="9" fontId="11" fillId="0" borderId="0" xfId="5" applyFont="1" applyFill="1" applyAlignment="1">
      <alignment horizontal="center"/>
    </xf>
    <xf numFmtId="43" fontId="0" fillId="0" borderId="0" xfId="6" applyFont="1"/>
    <xf numFmtId="165" fontId="4" fillId="0" borderId="0" xfId="3" applyNumberFormat="1"/>
    <xf numFmtId="0" fontId="12" fillId="0" borderId="0" xfId="3" applyFont="1" applyAlignment="1">
      <alignment horizontal="center" vertical="center"/>
    </xf>
    <xf numFmtId="0" fontId="11" fillId="4" borderId="9" xfId="4" applyFont="1" applyFill="1" applyBorder="1" applyAlignment="1">
      <alignment horizontal="center" vertical="center" wrapText="1"/>
    </xf>
    <xf numFmtId="0" fontId="11" fillId="4" borderId="10" xfId="4" applyFont="1" applyFill="1" applyBorder="1" applyAlignment="1">
      <alignment horizontal="center" vertical="center" wrapText="1"/>
    </xf>
    <xf numFmtId="0" fontId="11" fillId="4" borderId="11" xfId="4" applyFont="1" applyFill="1" applyBorder="1" applyAlignment="1">
      <alignment horizontal="center" vertical="center" wrapText="1"/>
    </xf>
    <xf numFmtId="0" fontId="2" fillId="6" borderId="10" xfId="3" applyFont="1" applyFill="1" applyBorder="1" applyAlignment="1">
      <alignment horizontal="center" vertical="center"/>
    </xf>
    <xf numFmtId="0" fontId="11" fillId="4" borderId="12" xfId="4" applyFont="1" applyFill="1" applyBorder="1" applyAlignment="1">
      <alignment horizontal="center" vertical="center" wrapText="1"/>
    </xf>
    <xf numFmtId="0" fontId="11" fillId="4" borderId="3" xfId="4" applyFont="1" applyFill="1" applyBorder="1" applyAlignment="1">
      <alignment horizontal="center" vertical="center" wrapText="1"/>
    </xf>
    <xf numFmtId="0" fontId="11" fillId="4" borderId="8" xfId="4" applyFont="1" applyFill="1" applyBorder="1" applyAlignment="1">
      <alignment horizontal="center" vertical="center" wrapText="1"/>
    </xf>
    <xf numFmtId="0" fontId="4" fillId="0" borderId="13" xfId="3" applyBorder="1"/>
    <xf numFmtId="3" fontId="4" fillId="0" borderId="0" xfId="3" applyNumberFormat="1"/>
    <xf numFmtId="164" fontId="0" fillId="0" borderId="14" xfId="5" applyNumberFormat="1" applyFont="1" applyBorder="1"/>
    <xf numFmtId="164" fontId="0" fillId="0" borderId="13" xfId="5" applyNumberFormat="1" applyFont="1" applyBorder="1" applyAlignment="1">
      <alignment horizontal="center" vertical="center"/>
    </xf>
    <xf numFmtId="164" fontId="0" fillId="0" borderId="0" xfId="5" applyNumberFormat="1" applyFont="1" applyBorder="1" applyAlignment="1">
      <alignment horizontal="center" vertical="center"/>
    </xf>
    <xf numFmtId="164" fontId="0" fillId="0" borderId="14" xfId="5" applyNumberFormat="1" applyFont="1" applyBorder="1" applyAlignment="1">
      <alignment horizontal="center" vertical="center"/>
    </xf>
    <xf numFmtId="165" fontId="0" fillId="0" borderId="13" xfId="6" applyNumberFormat="1" applyFont="1" applyBorder="1" applyAlignment="1">
      <alignment horizontal="center" vertical="center"/>
    </xf>
    <xf numFmtId="165" fontId="0" fillId="0" borderId="0" xfId="6" applyNumberFormat="1" applyFont="1" applyBorder="1" applyAlignment="1">
      <alignment horizontal="center" vertical="center"/>
    </xf>
    <xf numFmtId="165" fontId="0" fillId="0" borderId="14" xfId="6" applyNumberFormat="1" applyFont="1" applyBorder="1" applyAlignment="1">
      <alignment horizontal="center" vertical="center"/>
    </xf>
    <xf numFmtId="3" fontId="4" fillId="0" borderId="13" xfId="3" applyNumberFormat="1" applyBorder="1"/>
    <xf numFmtId="3" fontId="4" fillId="0" borderId="14" xfId="3" applyNumberFormat="1" applyBorder="1"/>
    <xf numFmtId="166" fontId="0" fillId="0" borderId="0" xfId="6" applyNumberFormat="1" applyFont="1" applyFill="1" applyBorder="1"/>
    <xf numFmtId="3" fontId="4" fillId="0" borderId="15" xfId="3" applyNumberFormat="1" applyBorder="1"/>
    <xf numFmtId="164" fontId="4" fillId="0" borderId="0" xfId="3" applyNumberFormat="1"/>
    <xf numFmtId="166" fontId="0" fillId="0" borderId="15" xfId="6" applyNumberFormat="1" applyFont="1" applyFill="1" applyBorder="1"/>
    <xf numFmtId="9" fontId="0" fillId="0" borderId="0" xfId="5" applyFont="1" applyBorder="1"/>
    <xf numFmtId="3" fontId="4" fillId="0" borderId="6" xfId="3" applyNumberFormat="1" applyBorder="1"/>
    <xf numFmtId="165" fontId="10" fillId="5" borderId="9" xfId="6" applyNumberFormat="1" applyFont="1" applyFill="1" applyBorder="1"/>
    <xf numFmtId="164" fontId="10" fillId="7" borderId="11" xfId="5" applyNumberFormat="1" applyFont="1" applyFill="1" applyBorder="1"/>
    <xf numFmtId="164" fontId="10" fillId="7" borderId="9" xfId="5" applyNumberFormat="1" applyFont="1" applyFill="1" applyBorder="1" applyAlignment="1">
      <alignment horizontal="center" vertical="center"/>
    </xf>
    <xf numFmtId="164" fontId="10" fillId="7" borderId="10" xfId="5" applyNumberFormat="1" applyFont="1" applyFill="1" applyBorder="1" applyAlignment="1">
      <alignment horizontal="center" vertical="center"/>
    </xf>
    <xf numFmtId="164" fontId="10" fillId="7" borderId="11" xfId="5" applyNumberFormat="1" applyFont="1" applyFill="1" applyBorder="1" applyAlignment="1">
      <alignment horizontal="center" vertical="center"/>
    </xf>
    <xf numFmtId="165" fontId="2" fillId="6" borderId="9" xfId="6" applyNumberFormat="1" applyFont="1" applyFill="1" applyBorder="1" applyAlignment="1">
      <alignment horizontal="center" vertical="center"/>
    </xf>
    <xf numFmtId="165" fontId="2" fillId="6" borderId="10" xfId="6" applyNumberFormat="1" applyFont="1" applyFill="1" applyBorder="1" applyAlignment="1">
      <alignment horizontal="center" vertical="center"/>
    </xf>
    <xf numFmtId="165" fontId="2" fillId="6" borderId="11" xfId="6" applyNumberFormat="1" applyFont="1" applyFill="1" applyBorder="1" applyAlignment="1">
      <alignment horizontal="center" vertical="center"/>
    </xf>
    <xf numFmtId="165" fontId="10" fillId="7" borderId="10" xfId="6" applyNumberFormat="1" applyFont="1" applyFill="1" applyBorder="1"/>
    <xf numFmtId="164" fontId="10" fillId="7" borderId="10" xfId="5" applyNumberFormat="1" applyFont="1" applyFill="1" applyBorder="1"/>
    <xf numFmtId="165" fontId="10" fillId="7" borderId="9" xfId="6" applyNumberFormat="1" applyFont="1" applyFill="1" applyBorder="1"/>
    <xf numFmtId="9" fontId="0" fillId="0" borderId="6" xfId="5" applyFont="1" applyBorder="1"/>
    <xf numFmtId="9" fontId="11" fillId="0" borderId="12" xfId="5" applyFont="1" applyFill="1" applyBorder="1" applyAlignment="1">
      <alignment horizontal="center"/>
    </xf>
    <xf numFmtId="0" fontId="10" fillId="4" borderId="9" xfId="3" applyFont="1" applyFill="1" applyBorder="1" applyAlignment="1">
      <alignment horizontal="center" vertical="center"/>
    </xf>
    <xf numFmtId="0" fontId="10" fillId="4" borderId="10" xfId="3" applyFont="1" applyFill="1" applyBorder="1" applyAlignment="1">
      <alignment horizontal="center" vertical="center" wrapText="1"/>
    </xf>
    <xf numFmtId="0" fontId="10" fillId="4" borderId="9" xfId="3" applyFont="1" applyFill="1" applyBorder="1" applyAlignment="1">
      <alignment horizontal="center" vertical="center" wrapText="1"/>
    </xf>
    <xf numFmtId="0" fontId="10" fillId="4" borderId="11" xfId="3" applyFont="1" applyFill="1" applyBorder="1" applyAlignment="1">
      <alignment horizontal="center" vertical="center" wrapText="1"/>
    </xf>
    <xf numFmtId="0" fontId="10" fillId="0" borderId="0" xfId="3" applyFont="1"/>
    <xf numFmtId="0" fontId="2" fillId="4" borderId="9" xfId="3" applyFont="1" applyFill="1" applyBorder="1" applyAlignment="1">
      <alignment horizontal="center" vertical="center"/>
    </xf>
    <xf numFmtId="0" fontId="2" fillId="4" borderId="10" xfId="3" applyFont="1" applyFill="1" applyBorder="1" applyAlignment="1">
      <alignment horizontal="center" vertical="center"/>
    </xf>
    <xf numFmtId="0" fontId="2" fillId="4" borderId="11" xfId="3" applyFont="1" applyFill="1" applyBorder="1" applyAlignment="1">
      <alignment horizontal="center" vertical="center"/>
    </xf>
    <xf numFmtId="165" fontId="0" fillId="0" borderId="13" xfId="6" applyNumberFormat="1" applyFont="1" applyBorder="1"/>
    <xf numFmtId="0" fontId="13" fillId="0" borderId="13" xfId="3" applyFont="1" applyBorder="1" applyAlignment="1">
      <alignment horizontal="center" vertical="center" wrapText="1"/>
    </xf>
    <xf numFmtId="164" fontId="14" fillId="0" borderId="0" xfId="3" applyNumberFormat="1" applyFont="1" applyAlignment="1">
      <alignment horizontal="center" vertical="center" wrapText="1"/>
    </xf>
    <xf numFmtId="164" fontId="14" fillId="0" borderId="14" xfId="3" applyNumberFormat="1" applyFont="1" applyBorder="1" applyAlignment="1">
      <alignment horizontal="center" vertical="center" wrapText="1"/>
    </xf>
    <xf numFmtId="0" fontId="13" fillId="0" borderId="5" xfId="3" applyFont="1" applyBorder="1" applyAlignment="1">
      <alignment horizontal="center" vertical="center" wrapText="1"/>
    </xf>
    <xf numFmtId="164" fontId="14" fillId="0" borderId="6" xfId="3" applyNumberFormat="1" applyFont="1" applyBorder="1" applyAlignment="1">
      <alignment horizontal="center" vertical="center" wrapText="1"/>
    </xf>
    <xf numFmtId="164" fontId="14" fillId="0" borderId="7" xfId="3" applyNumberFormat="1" applyFont="1" applyBorder="1" applyAlignment="1">
      <alignment horizontal="center" vertical="center" wrapText="1"/>
    </xf>
    <xf numFmtId="165" fontId="0" fillId="0" borderId="5" xfId="6" applyNumberFormat="1" applyFont="1" applyBorder="1"/>
    <xf numFmtId="165" fontId="0" fillId="0" borderId="7" xfId="6" applyNumberFormat="1" applyFont="1" applyBorder="1"/>
    <xf numFmtId="164" fontId="0" fillId="0" borderId="5" xfId="5" applyNumberFormat="1" applyFont="1" applyBorder="1"/>
    <xf numFmtId="164" fontId="0" fillId="0" borderId="16" xfId="5" applyNumberFormat="1" applyFont="1" applyBorder="1"/>
    <xf numFmtId="165" fontId="0" fillId="0" borderId="0" xfId="6" applyNumberFormat="1" applyFont="1"/>
    <xf numFmtId="43" fontId="4" fillId="0" borderId="0" xfId="10" applyFont="1"/>
    <xf numFmtId="0" fontId="9" fillId="8" borderId="2" xfId="3" applyFont="1" applyFill="1" applyBorder="1" applyAlignment="1">
      <alignment horizontal="center" vertical="center"/>
    </xf>
    <xf numFmtId="0" fontId="9" fillId="8" borderId="3" xfId="3" applyFont="1" applyFill="1" applyBorder="1" applyAlignment="1">
      <alignment horizontal="center" vertical="center"/>
    </xf>
    <xf numFmtId="0" fontId="9" fillId="8" borderId="4" xfId="3" applyFont="1" applyFill="1" applyBorder="1" applyAlignment="1">
      <alignment horizontal="center" vertical="center"/>
    </xf>
    <xf numFmtId="165" fontId="4" fillId="0" borderId="14" xfId="3" applyNumberFormat="1" applyBorder="1"/>
    <xf numFmtId="3" fontId="4" fillId="0" borderId="5" xfId="3" applyNumberFormat="1" applyBorder="1"/>
    <xf numFmtId="165" fontId="4" fillId="0" borderId="6" xfId="3" applyNumberFormat="1" applyBorder="1"/>
    <xf numFmtId="165" fontId="4" fillId="0" borderId="7" xfId="3" applyNumberFormat="1" applyBorder="1"/>
    <xf numFmtId="3" fontId="2" fillId="5" borderId="5" xfId="4" applyNumberFormat="1" applyFont="1" applyFill="1" applyBorder="1"/>
    <xf numFmtId="1" fontId="4" fillId="0" borderId="0" xfId="3" applyNumberFormat="1"/>
    <xf numFmtId="9" fontId="4" fillId="0" borderId="0" xfId="3" applyNumberFormat="1"/>
    <xf numFmtId="0" fontId="5" fillId="3" borderId="2" xfId="2" applyFont="1" applyBorder="1" applyAlignment="1">
      <alignment horizontal="center" vertical="center"/>
    </xf>
    <xf numFmtId="0" fontId="5" fillId="3" borderId="3" xfId="2" applyFont="1" applyBorder="1" applyAlignment="1">
      <alignment horizontal="center" vertical="center"/>
    </xf>
    <xf numFmtId="0" fontId="5" fillId="3" borderId="4" xfId="2" applyFont="1" applyBorder="1" applyAlignment="1">
      <alignment horizontal="center" vertical="center"/>
    </xf>
    <xf numFmtId="0" fontId="5" fillId="3" borderId="5" xfId="2" applyFont="1" applyBorder="1" applyAlignment="1">
      <alignment horizontal="center" vertical="center"/>
    </xf>
    <xf numFmtId="0" fontId="5" fillId="3" borderId="6" xfId="2" applyFont="1" applyBorder="1" applyAlignment="1">
      <alignment horizontal="center" vertical="center"/>
    </xf>
    <xf numFmtId="0" fontId="5" fillId="3" borderId="7" xfId="2" applyFont="1" applyBorder="1" applyAlignment="1">
      <alignment horizontal="center" vertical="center"/>
    </xf>
    <xf numFmtId="0" fontId="6" fillId="2" borderId="1" xfId="1" applyFont="1" applyAlignment="1">
      <alignment horizontal="center"/>
    </xf>
    <xf numFmtId="0" fontId="10" fillId="4" borderId="2" xfId="3" applyFont="1" applyFill="1" applyBorder="1" applyAlignment="1">
      <alignment horizontal="center" vertical="center"/>
    </xf>
    <xf numFmtId="0" fontId="10" fillId="4" borderId="3" xfId="3" applyFont="1" applyFill="1" applyBorder="1" applyAlignment="1">
      <alignment horizontal="center" vertical="center" wrapText="1"/>
    </xf>
    <xf numFmtId="0" fontId="10" fillId="4" borderId="2" xfId="3" applyFont="1" applyFill="1" applyBorder="1" applyAlignment="1">
      <alignment horizontal="center" vertical="center" wrapText="1"/>
    </xf>
    <xf numFmtId="0" fontId="10" fillId="4" borderId="4" xfId="3" applyFont="1" applyFill="1" applyBorder="1" applyAlignment="1">
      <alignment horizontal="center" vertical="center" wrapText="1"/>
    </xf>
    <xf numFmtId="0" fontId="10" fillId="9" borderId="17" xfId="3" applyFont="1" applyFill="1" applyBorder="1" applyAlignment="1">
      <alignment horizontal="center" vertical="center"/>
    </xf>
    <xf numFmtId="0" fontId="10" fillId="9" borderId="18" xfId="3" applyFont="1" applyFill="1" applyBorder="1" applyAlignment="1">
      <alignment horizontal="center" vertical="center" wrapText="1"/>
    </xf>
    <xf numFmtId="0" fontId="10" fillId="9" borderId="19" xfId="3" applyFont="1" applyFill="1" applyBorder="1" applyAlignment="1">
      <alignment horizontal="center" vertical="center" wrapText="1"/>
    </xf>
    <xf numFmtId="0" fontId="10" fillId="9" borderId="20" xfId="3" applyFont="1" applyFill="1" applyBorder="1" applyAlignment="1">
      <alignment horizontal="center" vertical="center" wrapText="1"/>
    </xf>
    <xf numFmtId="0" fontId="9" fillId="9" borderId="21" xfId="3" applyFont="1" applyFill="1" applyBorder="1" applyAlignment="1">
      <alignment horizontal="center" vertical="center" wrapText="1"/>
    </xf>
  </cellXfs>
  <cellStyles count="11">
    <cellStyle name="Accent1" xfId="2" builtinId="29"/>
    <cellStyle name="Check Cell" xfId="1" builtinId="23"/>
    <cellStyle name="Comma" xfId="10" builtinId="3"/>
    <cellStyle name="Comma 2" xfId="6" xr:uid="{504AB21C-9C16-474D-A6E8-A91DA8DFD467}"/>
    <cellStyle name="Comma 2 2" xfId="8" xr:uid="{9061B34A-3275-4AA6-A9FC-AC18A17EF27C}"/>
    <cellStyle name="Normal" xfId="0" builtinId="0"/>
    <cellStyle name="Normal 2" xfId="3" xr:uid="{25001999-294A-46F1-AAA2-D3EB2B6978F6}"/>
    <cellStyle name="Normal 3" xfId="4" xr:uid="{2C83C139-C633-4FE2-BA7D-FB35CAF6C029}"/>
    <cellStyle name="Normal 4" xfId="9" xr:uid="{B4B837CB-04BF-4859-8645-E6DD666F7346}"/>
    <cellStyle name="Percent 2" xfId="5" xr:uid="{33CB908F-A0B9-4881-A507-ABC348323023}"/>
    <cellStyle name="Percent 2 2" xfId="7" xr:uid="{160C81AF-2778-4BC3-9169-13B5A971D6E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etas\Downloads\HNO%2023_%20Inter-cluster%20PIn%20collation%20sheet.xlsx" TargetMode="External"/><Relationship Id="rId1" Type="http://schemas.openxmlformats.org/officeDocument/2006/relationships/externalLinkPath" Target="/Users/metas/Downloads/HNO%2023_%20Inter-cluster%20PIn%20collation%20she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DX_INTER-cluster PIN "/>
      <sheetName val="INTER-cluster PIN"/>
      <sheetName val="Sheet1"/>
      <sheetName val="Analysis"/>
      <sheetName val="Education"/>
      <sheetName val="FSS"/>
      <sheetName val="PROTECTION"/>
      <sheetName val="HEALTH"/>
      <sheetName val="WASH"/>
      <sheetName val="Shelter"/>
      <sheetName val="Population_Summary"/>
      <sheetName val="Population Governorate"/>
      <sheetName val="PIN by Gov"/>
      <sheetName val="PIN_Target_Funding"/>
    </sheetNames>
    <sheetDataSet>
      <sheetData sheetId="0"/>
      <sheetData sheetId="1"/>
      <sheetData sheetId="2"/>
      <sheetData sheetId="3"/>
      <sheetData sheetId="4">
        <row r="21">
          <cell r="H21">
            <v>66679</v>
          </cell>
        </row>
        <row r="22">
          <cell r="H22">
            <v>71804</v>
          </cell>
        </row>
        <row r="23">
          <cell r="H23">
            <v>48626</v>
          </cell>
        </row>
        <row r="24">
          <cell r="H24">
            <v>69284</v>
          </cell>
        </row>
        <row r="25">
          <cell r="H25">
            <v>139958</v>
          </cell>
        </row>
        <row r="26">
          <cell r="H26">
            <v>8105</v>
          </cell>
        </row>
        <row r="27">
          <cell r="H27">
            <v>82501</v>
          </cell>
        </row>
        <row r="28">
          <cell r="H28">
            <v>83655</v>
          </cell>
        </row>
        <row r="29">
          <cell r="H29">
            <v>37944</v>
          </cell>
        </row>
        <row r="30">
          <cell r="H30">
            <v>608556</v>
          </cell>
        </row>
        <row r="36">
          <cell r="H36">
            <v>392684</v>
          </cell>
        </row>
        <row r="37">
          <cell r="H37">
            <v>608556</v>
          </cell>
        </row>
      </sheetData>
      <sheetData sheetId="5">
        <row r="21">
          <cell r="G21">
            <v>285032</v>
          </cell>
        </row>
        <row r="22">
          <cell r="G22">
            <v>48576</v>
          </cell>
        </row>
        <row r="23">
          <cell r="G23">
            <v>168111</v>
          </cell>
        </row>
        <row r="24">
          <cell r="G24">
            <v>13361</v>
          </cell>
        </row>
        <row r="25">
          <cell r="G25">
            <v>390616</v>
          </cell>
        </row>
        <row r="26">
          <cell r="G26">
            <v>5849</v>
          </cell>
        </row>
        <row r="27">
          <cell r="G27">
            <v>211400</v>
          </cell>
        </row>
        <row r="28">
          <cell r="G28">
            <v>253256</v>
          </cell>
        </row>
        <row r="29">
          <cell r="G29">
            <v>165606</v>
          </cell>
        </row>
        <row r="30">
          <cell r="G30">
            <v>1541807</v>
          </cell>
        </row>
        <row r="35">
          <cell r="G35">
            <v>352818</v>
          </cell>
        </row>
        <row r="36">
          <cell r="G36">
            <v>1188989</v>
          </cell>
        </row>
        <row r="37">
          <cell r="G37">
            <v>1541807</v>
          </cell>
        </row>
      </sheetData>
      <sheetData sheetId="6">
        <row r="21">
          <cell r="G21">
            <v>526829.067433169</v>
          </cell>
        </row>
        <row r="22">
          <cell r="G22">
            <v>99201.341117479722</v>
          </cell>
        </row>
        <row r="23">
          <cell r="G23">
            <v>159604</v>
          </cell>
        </row>
        <row r="24">
          <cell r="G24">
            <v>97505.173225000006</v>
          </cell>
        </row>
        <row r="25">
          <cell r="G25">
            <v>379081.85</v>
          </cell>
        </row>
        <row r="26">
          <cell r="G26">
            <v>11211.535125</v>
          </cell>
        </row>
        <row r="27">
          <cell r="G27">
            <v>221974</v>
          </cell>
        </row>
        <row r="28">
          <cell r="G28">
            <v>222206</v>
          </cell>
        </row>
        <row r="29">
          <cell r="G29">
            <v>146237.1</v>
          </cell>
        </row>
        <row r="30">
          <cell r="G30">
            <v>1863850.0669006486</v>
          </cell>
        </row>
        <row r="44">
          <cell r="G44">
            <v>734747.11690064881</v>
          </cell>
        </row>
        <row r="45">
          <cell r="G45">
            <v>1129102.95</v>
          </cell>
        </row>
        <row r="46">
          <cell r="G46">
            <v>1863850.0669006486</v>
          </cell>
        </row>
      </sheetData>
      <sheetData sheetId="7">
        <row r="21">
          <cell r="G21">
            <v>426465</v>
          </cell>
        </row>
        <row r="22">
          <cell r="G22">
            <v>163827</v>
          </cell>
        </row>
        <row r="23">
          <cell r="G23">
            <v>121371</v>
          </cell>
        </row>
        <row r="24">
          <cell r="G24">
            <v>39961</v>
          </cell>
        </row>
        <row r="25">
          <cell r="G25">
            <v>325203</v>
          </cell>
        </row>
        <row r="26">
          <cell r="G26">
            <v>3429</v>
          </cell>
        </row>
        <row r="27">
          <cell r="G27">
            <v>192179</v>
          </cell>
        </row>
        <row r="28">
          <cell r="G28">
            <v>218264</v>
          </cell>
        </row>
        <row r="29">
          <cell r="G29">
            <v>120902</v>
          </cell>
        </row>
        <row r="30">
          <cell r="G30">
            <v>1611601</v>
          </cell>
        </row>
        <row r="35">
          <cell r="G35">
            <v>633682</v>
          </cell>
        </row>
        <row r="36">
          <cell r="G36">
            <v>977919</v>
          </cell>
        </row>
        <row r="37">
          <cell r="G37">
            <v>1611601</v>
          </cell>
        </row>
      </sheetData>
      <sheetData sheetId="8">
        <row r="21">
          <cell r="G21">
            <v>538323</v>
          </cell>
        </row>
        <row r="22">
          <cell r="G22">
            <v>86357</v>
          </cell>
        </row>
        <row r="23">
          <cell r="G23">
            <v>85294</v>
          </cell>
        </row>
        <row r="24">
          <cell r="G24">
            <v>85003</v>
          </cell>
        </row>
        <row r="25">
          <cell r="G25">
            <v>153259</v>
          </cell>
        </row>
        <row r="26">
          <cell r="G26">
            <v>8401</v>
          </cell>
        </row>
        <row r="27">
          <cell r="G27">
            <v>148313</v>
          </cell>
        </row>
        <row r="28">
          <cell r="G28">
            <v>205649</v>
          </cell>
        </row>
        <row r="29">
          <cell r="G29">
            <v>56081</v>
          </cell>
        </row>
        <row r="30">
          <cell r="G30">
            <v>1366680</v>
          </cell>
        </row>
        <row r="35">
          <cell r="G35">
            <v>718084</v>
          </cell>
        </row>
        <row r="36">
          <cell r="G36">
            <v>648596</v>
          </cell>
        </row>
        <row r="37">
          <cell r="G37">
            <v>1366680</v>
          </cell>
        </row>
      </sheetData>
      <sheetData sheetId="9">
        <row r="21">
          <cell r="G21">
            <v>22113</v>
          </cell>
        </row>
        <row r="22">
          <cell r="G22">
            <v>28477</v>
          </cell>
        </row>
        <row r="23">
          <cell r="G23">
            <v>74284</v>
          </cell>
        </row>
        <row r="24">
          <cell r="G24">
            <v>9200</v>
          </cell>
        </row>
        <row r="25">
          <cell r="G25">
            <v>176201</v>
          </cell>
        </row>
        <row r="26">
          <cell r="G26">
            <v>12000</v>
          </cell>
        </row>
        <row r="27">
          <cell r="G27">
            <v>91354</v>
          </cell>
        </row>
        <row r="28">
          <cell r="G28">
            <v>189007</v>
          </cell>
        </row>
        <row r="29">
          <cell r="G29">
            <v>60467</v>
          </cell>
        </row>
        <row r="30">
          <cell r="G30">
            <v>663103</v>
          </cell>
        </row>
        <row r="35">
          <cell r="G35">
            <v>71790</v>
          </cell>
        </row>
        <row r="36">
          <cell r="G36">
            <v>591313</v>
          </cell>
        </row>
        <row r="37">
          <cell r="G37">
            <v>663103</v>
          </cell>
        </row>
      </sheetData>
      <sheetData sheetId="10"/>
      <sheetData sheetId="11"/>
      <sheetData sheetId="12"/>
      <sheetData sheetId="13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Firas Qaimary" id="{E8F05DCE-6653-4F74-8E8F-62707B22D6E2}" userId="S::qaimary@un.org::44026a28-a327-4b0b-9783-ff3da1358542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H30" dT="2022-12-13T12:56:49.54" personId="{E8F05DCE-6653-4F74-8E8F-62707B22D6E2}" id="{BBCF5DA1-0B97-40E0-A684-6443EE3DDBDB}">
    <text>Percentages are calculated out of total PIN</text>
  </threadedComment>
  <threadedComment ref="H34" dT="2022-08-30T05:35:40.28" personId="{E8F05DCE-6653-4F74-8E8F-62707B22D6E2}" id="{57A6CCE0-B0D4-486C-A491-CDCF08B53C12}">
    <text>Pin % of Population</text>
  </threadedComment>
  <threadedComment ref="C50" dT="2022-08-30T06:14:47.68" personId="{E8F05DCE-6653-4F74-8E8F-62707B22D6E2}" id="{65DCD507-9069-4CAD-A241-3A09C64AF7C1}">
    <text>including EJ</text>
  </threadedComment>
  <threadedComment ref="E50" dT="2022-08-26T09:45:20.46" personId="{E8F05DCE-6653-4F74-8E8F-62707B22D6E2}" id="{F4D0761F-C7A8-46C1-9562-C34644006EB2}">
    <text>Difference of Are C and East Jerusalem was estimated of 4207 people and fixed</text>
  </threadedComment>
  <threadedComment ref="K50" dT="2022-08-30T09:48:46.88" personId="{E8F05DCE-6653-4F74-8E8F-62707B22D6E2}" id="{1DBDD107-E7A2-4CAC-9F33-56E1BD138B50}">
    <text>Including EJ</text>
  </threadedComment>
  <threadedComment ref="L87" dT="2022-08-30T06:14:47.68" personId="{E8F05DCE-6653-4F74-8E8F-62707B22D6E2}" id="{170BFE7C-7900-4438-8677-923BAD93D39D}">
    <text>including EJ</text>
  </threadedComment>
  <threadedComment ref="I95" dT="2022-08-30T06:14:47.68" personId="{E8F05DCE-6653-4F74-8E8F-62707B22D6E2}" id="{C76AE840-02AA-4166-ACBD-0EF281B908F7}">
    <text>including EJ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11" dT="2022-08-30T06:14:47.68" personId="{E8F05DCE-6653-4F74-8E8F-62707B22D6E2}" id="{27425DAE-F9A2-426A-AE52-834C5EF7F947}">
    <text>including EJ</text>
  </threadedComment>
  <threadedComment ref="D11" dT="2022-08-26T09:45:20.46" personId="{E8F05DCE-6653-4F74-8E8F-62707B22D6E2}" id="{452D1AB5-AC4E-4EC2-908C-A23B84BB3C95}">
    <text>Difference of Are C and East Jerusalem was estimated of 4207 people and fixed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6E2A4-D90D-4884-9578-CE48D4D6F4C8}">
  <sheetPr>
    <tabColor rgb="FFFFC000"/>
  </sheetPr>
  <dimension ref="A1:AZ258"/>
  <sheetViews>
    <sheetView topLeftCell="A15" workbookViewId="0">
      <pane xSplit="7" ySplit="6" topLeftCell="H47" activePane="bottomRight" state="frozen"/>
      <selection pane="topRight" activeCell="G16" sqref="G16"/>
      <selection pane="bottomLeft" activeCell="A20" sqref="A20"/>
      <selection pane="bottomRight" activeCell="B41" sqref="B41:I57"/>
    </sheetView>
  </sheetViews>
  <sheetFormatPr defaultColWidth="11.54296875" defaultRowHeight="14.5" x14ac:dyDescent="0.35"/>
  <cols>
    <col min="1" max="2" width="11.54296875" style="1"/>
    <col min="3" max="3" width="12.453125" style="1" customWidth="1"/>
    <col min="4" max="4" width="14.7265625" style="1" customWidth="1"/>
    <col min="5" max="5" width="11.26953125" style="1" customWidth="1"/>
    <col min="6" max="6" width="20.81640625" style="1" bestFit="1" customWidth="1"/>
    <col min="7" max="7" width="11.453125" style="1" customWidth="1"/>
    <col min="8" max="8" width="9.1796875" style="1"/>
    <col min="9" max="9" width="13.453125" style="1" customWidth="1"/>
    <col min="10" max="10" width="13.1796875" style="1" bestFit="1" customWidth="1"/>
    <col min="11" max="15" width="13.81640625" style="1" bestFit="1" customWidth="1"/>
    <col min="16" max="16" width="10.81640625" style="1" bestFit="1" customWidth="1"/>
    <col min="17" max="17" width="12" style="1" bestFit="1" customWidth="1"/>
    <col min="18" max="19" width="13.26953125" style="1" bestFit="1" customWidth="1"/>
    <col min="20" max="20" width="11.7265625" style="1" bestFit="1" customWidth="1"/>
    <col min="21" max="21" width="14.1796875" style="1" customWidth="1"/>
    <col min="22" max="22" width="17.54296875" style="1" customWidth="1"/>
    <col min="23" max="23" width="12.7265625" style="1" customWidth="1"/>
    <col min="24" max="24" width="9.1796875" style="1"/>
    <col min="25" max="25" width="13.7265625" style="1" customWidth="1"/>
    <col min="26" max="26" width="13.54296875" style="1" customWidth="1"/>
    <col min="27" max="27" width="11.453125" style="1" customWidth="1"/>
    <col min="28" max="28" width="11.26953125" style="1" customWidth="1"/>
    <col min="29" max="30" width="12.453125" style="1" customWidth="1"/>
    <col min="31" max="31" width="12.7265625" style="1" customWidth="1"/>
    <col min="32" max="32" width="12" style="1" bestFit="1" customWidth="1"/>
    <col min="33" max="33" width="17.26953125" style="1" customWidth="1"/>
    <col min="34" max="34" width="15.81640625" style="1" customWidth="1"/>
    <col min="35" max="35" width="53.26953125" style="1" bestFit="1" customWidth="1"/>
    <col min="36" max="38" width="13.453125" style="1" customWidth="1"/>
    <col min="39" max="16384" width="11.54296875" style="1"/>
  </cols>
  <sheetData>
    <row r="1" spans="3:52" hidden="1" x14ac:dyDescent="0.35">
      <c r="C1" s="1" t="s">
        <v>0</v>
      </c>
      <c r="D1" s="1" t="s">
        <v>0</v>
      </c>
      <c r="E1" s="1" t="s">
        <v>0</v>
      </c>
      <c r="F1" s="1" t="s">
        <v>1</v>
      </c>
      <c r="G1" s="1" t="s">
        <v>1</v>
      </c>
      <c r="H1" s="1" t="s">
        <v>1</v>
      </c>
      <c r="I1" s="1" t="s">
        <v>2</v>
      </c>
      <c r="J1" s="1" t="s">
        <v>2</v>
      </c>
      <c r="K1" s="1" t="s">
        <v>3</v>
      </c>
      <c r="L1" s="1" t="s">
        <v>3</v>
      </c>
      <c r="M1" s="1" t="s">
        <v>3</v>
      </c>
      <c r="R1" s="1" t="s">
        <v>4</v>
      </c>
      <c r="S1" s="1" t="s">
        <v>4</v>
      </c>
      <c r="T1" s="1" t="s">
        <v>4</v>
      </c>
      <c r="U1" s="1" t="s">
        <v>5</v>
      </c>
      <c r="V1" s="1" t="s">
        <v>5</v>
      </c>
      <c r="W1" s="1" t="s">
        <v>5</v>
      </c>
      <c r="X1" s="1" t="s">
        <v>5</v>
      </c>
      <c r="Y1" s="1" t="s">
        <v>5</v>
      </c>
      <c r="Z1" s="1" t="s">
        <v>5</v>
      </c>
      <c r="AA1" s="1" t="s">
        <v>5</v>
      </c>
      <c r="AB1" s="1" t="s">
        <v>5</v>
      </c>
      <c r="AC1" s="1" t="s">
        <v>5</v>
      </c>
      <c r="AE1" s="1" t="s">
        <v>6</v>
      </c>
      <c r="AF1" s="1" t="s">
        <v>6</v>
      </c>
      <c r="AG1" s="1" t="s">
        <v>6</v>
      </c>
      <c r="AH1" s="1" t="s">
        <v>6</v>
      </c>
      <c r="AI1" s="1" t="s">
        <v>6</v>
      </c>
      <c r="AJ1" s="1" t="s">
        <v>7</v>
      </c>
    </row>
    <row r="2" spans="3:52" hidden="1" x14ac:dyDescent="0.35">
      <c r="C2" s="1" t="s">
        <v>8</v>
      </c>
      <c r="D2" s="1" t="s">
        <v>9</v>
      </c>
      <c r="E2" s="1" t="s">
        <v>10</v>
      </c>
      <c r="F2" s="1" t="s">
        <v>11</v>
      </c>
      <c r="G2" s="1" t="s">
        <v>11</v>
      </c>
      <c r="H2" s="1" t="s">
        <v>11</v>
      </c>
      <c r="I2" s="1" t="s">
        <v>12</v>
      </c>
      <c r="J2" s="1" t="s">
        <v>12</v>
      </c>
      <c r="K2" s="1" t="s">
        <v>13</v>
      </c>
      <c r="L2" s="1" t="s">
        <v>13</v>
      </c>
      <c r="M2" s="1" t="s">
        <v>14</v>
      </c>
      <c r="R2" s="1" t="s">
        <v>15</v>
      </c>
      <c r="S2" s="1" t="s">
        <v>15</v>
      </c>
      <c r="T2" s="1" t="s">
        <v>15</v>
      </c>
      <c r="U2" s="1" t="s">
        <v>16</v>
      </c>
      <c r="V2" s="1" t="s">
        <v>16</v>
      </c>
      <c r="W2" s="1" t="s">
        <v>16</v>
      </c>
      <c r="X2" s="1" t="s">
        <v>17</v>
      </c>
      <c r="Y2" s="1" t="s">
        <v>17</v>
      </c>
      <c r="Z2" s="1" t="s">
        <v>17</v>
      </c>
      <c r="AA2" s="1" t="s">
        <v>18</v>
      </c>
      <c r="AB2" s="1" t="s">
        <v>18</v>
      </c>
      <c r="AC2" s="1" t="s">
        <v>18</v>
      </c>
      <c r="AE2" s="1" t="s">
        <v>19</v>
      </c>
      <c r="AF2" s="1" t="s">
        <v>19</v>
      </c>
      <c r="AG2" s="1" t="s">
        <v>19</v>
      </c>
      <c r="AH2" s="1" t="s">
        <v>20</v>
      </c>
      <c r="AI2" s="1" t="s">
        <v>20</v>
      </c>
      <c r="AJ2" s="1" t="s">
        <v>21</v>
      </c>
    </row>
    <row r="3" spans="3:52" hidden="1" x14ac:dyDescent="0.35">
      <c r="C3" s="1" t="s">
        <v>8</v>
      </c>
      <c r="D3" s="1" t="s">
        <v>9</v>
      </c>
      <c r="E3" s="1" t="s">
        <v>10</v>
      </c>
      <c r="F3" s="1" t="s">
        <v>11</v>
      </c>
      <c r="G3" s="1" t="s">
        <v>11</v>
      </c>
      <c r="H3" s="1" t="s">
        <v>11</v>
      </c>
      <c r="I3" s="1" t="s">
        <v>12</v>
      </c>
      <c r="J3" s="1" t="s">
        <v>12</v>
      </c>
      <c r="K3" s="1" t="s">
        <v>13</v>
      </c>
      <c r="L3" s="1" t="s">
        <v>13</v>
      </c>
      <c r="M3" s="1" t="s">
        <v>14</v>
      </c>
      <c r="R3" s="1" t="s">
        <v>15</v>
      </c>
      <c r="S3" s="1" t="s">
        <v>15</v>
      </c>
      <c r="T3" s="1" t="s">
        <v>15</v>
      </c>
      <c r="U3" s="1" t="s">
        <v>16</v>
      </c>
      <c r="V3" s="1" t="s">
        <v>16</v>
      </c>
      <c r="W3" s="1" t="s">
        <v>16</v>
      </c>
      <c r="X3" s="1" t="s">
        <v>17</v>
      </c>
      <c r="Y3" s="1" t="s">
        <v>17</v>
      </c>
      <c r="Z3" s="1" t="s">
        <v>17</v>
      </c>
      <c r="AA3" s="1" t="s">
        <v>18</v>
      </c>
      <c r="AB3" s="1" t="s">
        <v>18</v>
      </c>
      <c r="AC3" s="1" t="s">
        <v>18</v>
      </c>
      <c r="AE3" s="1" t="s">
        <v>19</v>
      </c>
      <c r="AF3" s="1" t="s">
        <v>19</v>
      </c>
      <c r="AG3" s="1" t="s">
        <v>19</v>
      </c>
      <c r="AH3" s="1" t="s">
        <v>20</v>
      </c>
      <c r="AI3" s="1" t="s">
        <v>20</v>
      </c>
      <c r="AJ3" s="1" t="s">
        <v>21</v>
      </c>
    </row>
    <row r="4" spans="3:52" hidden="1" x14ac:dyDescent="0.35">
      <c r="C4" s="1" t="s">
        <v>22</v>
      </c>
      <c r="D4" s="1" t="s">
        <v>22</v>
      </c>
      <c r="E4" s="1" t="s">
        <v>22</v>
      </c>
      <c r="F4" s="1" t="s">
        <v>23</v>
      </c>
      <c r="G4" s="1" t="s">
        <v>23</v>
      </c>
      <c r="H4" s="1" t="s">
        <v>23</v>
      </c>
      <c r="I4" s="1" t="s">
        <v>23</v>
      </c>
      <c r="J4" s="1" t="s">
        <v>23</v>
      </c>
      <c r="K4" s="1" t="s">
        <v>23</v>
      </c>
      <c r="L4" s="1" t="s">
        <v>23</v>
      </c>
      <c r="M4" s="1" t="s">
        <v>23</v>
      </c>
      <c r="R4" s="1" t="s">
        <v>23</v>
      </c>
      <c r="S4" s="1" t="s">
        <v>23</v>
      </c>
      <c r="T4" s="1" t="s">
        <v>23</v>
      </c>
      <c r="U4" s="1" t="s">
        <v>23</v>
      </c>
      <c r="V4" s="1" t="s">
        <v>23</v>
      </c>
      <c r="W4" s="1" t="s">
        <v>23</v>
      </c>
      <c r="X4" s="1" t="s">
        <v>23</v>
      </c>
      <c r="Y4" s="1" t="s">
        <v>23</v>
      </c>
      <c r="Z4" s="1" t="s">
        <v>23</v>
      </c>
      <c r="AA4" s="1" t="s">
        <v>23</v>
      </c>
      <c r="AB4" s="1" t="s">
        <v>23</v>
      </c>
      <c r="AC4" s="1" t="s">
        <v>23</v>
      </c>
      <c r="AE4" s="1" t="s">
        <v>23</v>
      </c>
      <c r="AF4" s="1" t="s">
        <v>23</v>
      </c>
      <c r="AG4" s="1" t="s">
        <v>23</v>
      </c>
      <c r="AH4" s="1" t="s">
        <v>23</v>
      </c>
      <c r="AI4" s="1" t="s">
        <v>23</v>
      </c>
      <c r="AJ4" s="1" t="s">
        <v>23</v>
      </c>
    </row>
    <row r="5" spans="3:52" hidden="1" x14ac:dyDescent="0.35">
      <c r="C5" s="1" t="s">
        <v>24</v>
      </c>
      <c r="D5" s="1" t="s">
        <v>25</v>
      </c>
      <c r="E5" s="1" t="s">
        <v>26</v>
      </c>
      <c r="F5" s="1" t="s">
        <v>27</v>
      </c>
      <c r="G5" s="1" t="s">
        <v>28</v>
      </c>
      <c r="H5" s="1" t="s">
        <v>29</v>
      </c>
      <c r="I5" s="1" t="s">
        <v>30</v>
      </c>
      <c r="J5" s="1" t="s">
        <v>31</v>
      </c>
      <c r="K5" s="1" t="s">
        <v>32</v>
      </c>
      <c r="L5" s="1" t="s">
        <v>33</v>
      </c>
      <c r="M5" s="1" t="s">
        <v>34</v>
      </c>
      <c r="R5" s="1" t="s">
        <v>35</v>
      </c>
      <c r="S5" s="1" t="s">
        <v>36</v>
      </c>
      <c r="T5" s="1" t="s">
        <v>37</v>
      </c>
      <c r="U5" s="1" t="s">
        <v>38</v>
      </c>
      <c r="V5" s="1" t="s">
        <v>39</v>
      </c>
      <c r="W5" s="1" t="s">
        <v>40</v>
      </c>
      <c r="X5" s="1" t="s">
        <v>41</v>
      </c>
      <c r="Y5" s="1" t="s">
        <v>42</v>
      </c>
      <c r="Z5" s="1" t="s">
        <v>43</v>
      </c>
      <c r="AA5" s="1" t="s">
        <v>44</v>
      </c>
      <c r="AB5" s="1" t="s">
        <v>45</v>
      </c>
      <c r="AC5" s="1" t="s">
        <v>46</v>
      </c>
      <c r="AE5" s="1" t="s">
        <v>47</v>
      </c>
      <c r="AF5" s="1" t="s">
        <v>48</v>
      </c>
      <c r="AG5" s="1" t="s">
        <v>49</v>
      </c>
      <c r="AH5" s="1" t="s">
        <v>50</v>
      </c>
      <c r="AI5" s="1" t="s">
        <v>51</v>
      </c>
      <c r="AJ5" s="1" t="s">
        <v>52</v>
      </c>
      <c r="AM5" s="1" t="s">
        <v>53</v>
      </c>
      <c r="AN5" s="1" t="s">
        <v>54</v>
      </c>
      <c r="AO5" s="1" t="s">
        <v>55</v>
      </c>
      <c r="AP5" s="1" t="s">
        <v>56</v>
      </c>
      <c r="AQ5" s="1" t="s">
        <v>57</v>
      </c>
      <c r="AR5" s="1" t="s">
        <v>58</v>
      </c>
      <c r="AS5" s="1" t="s">
        <v>59</v>
      </c>
      <c r="AT5" s="1" t="s">
        <v>60</v>
      </c>
      <c r="AU5" s="1" t="s">
        <v>61</v>
      </c>
      <c r="AV5" s="1" t="s">
        <v>62</v>
      </c>
      <c r="AW5" s="1" t="s">
        <v>63</v>
      </c>
      <c r="AX5" s="1" t="s">
        <v>64</v>
      </c>
      <c r="AY5" s="1" t="s">
        <v>65</v>
      </c>
      <c r="AZ5" s="1" t="s">
        <v>66</v>
      </c>
    </row>
    <row r="6" spans="3:52" hidden="1" x14ac:dyDescent="0.35">
      <c r="C6" s="1">
        <v>0.18991108000000001</v>
      </c>
      <c r="D6" s="1">
        <v>2.2013070999999999E-2</v>
      </c>
      <c r="E6" s="1">
        <v>2.7485681000000001E-2</v>
      </c>
      <c r="F6" s="1">
        <v>8.1468458999999993E-2</v>
      </c>
      <c r="G6" s="1">
        <v>2.0376747000000001E-2</v>
      </c>
      <c r="H6" s="1">
        <v>2.5544100000000002E-4</v>
      </c>
      <c r="I6" s="1">
        <v>1.7772428E-2</v>
      </c>
      <c r="J6" s="1">
        <v>0.16423309899999999</v>
      </c>
      <c r="K6" s="1">
        <v>0.15298163400000001</v>
      </c>
      <c r="L6" s="1">
        <v>5.4477670000000001E-3</v>
      </c>
      <c r="M6" s="1">
        <v>0.44300349500000002</v>
      </c>
      <c r="R6" s="1">
        <v>3.5751262999999998E-2</v>
      </c>
      <c r="S6" s="1">
        <v>3.5363820999999997E-2</v>
      </c>
      <c r="T6" s="1">
        <v>6.2025698999999997E-2</v>
      </c>
      <c r="U6" s="1">
        <v>1.8814013000000001E-2</v>
      </c>
      <c r="V6" s="1">
        <v>8.1935629999999992E-3</v>
      </c>
      <c r="W6" s="1">
        <v>1.243637E-2</v>
      </c>
      <c r="X6" s="1">
        <v>0.116021681</v>
      </c>
      <c r="Y6" s="1">
        <v>0.18935658499999999</v>
      </c>
      <c r="Z6" s="1">
        <v>2.0056517999999999E-2</v>
      </c>
      <c r="AA6" s="1">
        <v>0.144379533</v>
      </c>
      <c r="AB6" s="1">
        <v>5.6454459999999998E-2</v>
      </c>
      <c r="AC6" s="1">
        <v>7.2367595000000007E-2</v>
      </c>
      <c r="AE6" s="1">
        <v>2.3308035000000001E-2</v>
      </c>
      <c r="AF6" s="1">
        <v>8.6318140000000002E-2</v>
      </c>
      <c r="AG6" s="1">
        <v>4.7906750000000003E-3</v>
      </c>
      <c r="AH6" s="1">
        <v>6.2428439000000002E-2</v>
      </c>
      <c r="AI6" s="1">
        <v>2.0105631999999998E-2</v>
      </c>
      <c r="AJ6" s="1">
        <v>3.1470933999999999E-2</v>
      </c>
      <c r="AM6" s="1">
        <v>0.44300349500000002</v>
      </c>
      <c r="AN6" s="1">
        <v>0.13314078300000001</v>
      </c>
      <c r="AO6" s="1">
        <v>3.9443946000000001E-2</v>
      </c>
      <c r="AP6" s="1">
        <v>0.32543478399999998</v>
      </c>
      <c r="AQ6" s="1">
        <v>0.273201588</v>
      </c>
      <c r="AR6" s="1">
        <v>0.11441685</v>
      </c>
      <c r="AS6" s="1">
        <v>8.2534071000000001E-2</v>
      </c>
      <c r="AT6" s="1">
        <v>5.7130064000000001E-2</v>
      </c>
      <c r="AU6" s="1">
        <v>9.9651842000000004E-2</v>
      </c>
      <c r="AV6" s="1">
        <v>6.6805753999999995E-2</v>
      </c>
      <c r="AW6" s="1">
        <v>0.16170210900000001</v>
      </c>
      <c r="AX6" s="1">
        <v>0.29348069799999998</v>
      </c>
      <c r="AY6" s="1">
        <v>0.49800035799999998</v>
      </c>
      <c r="AZ6" s="1">
        <v>8.4087948999999995E-2</v>
      </c>
    </row>
    <row r="7" spans="3:52" hidden="1" x14ac:dyDescent="0.35">
      <c r="C7" s="1">
        <v>0.21998814899999999</v>
      </c>
      <c r="D7" s="1">
        <v>2.2535876999999999E-2</v>
      </c>
      <c r="E7" s="1">
        <v>2.2820673E-2</v>
      </c>
      <c r="F7" s="1">
        <v>6.7343886000000006E-2</v>
      </c>
      <c r="G7" s="1">
        <v>1.6411510000000001E-2</v>
      </c>
      <c r="H7" s="1">
        <v>2.793181E-3</v>
      </c>
      <c r="I7" s="1">
        <v>6.182674E-3</v>
      </c>
      <c r="J7" s="1">
        <v>0.25844193900000001</v>
      </c>
      <c r="K7" s="1">
        <v>0.14560494600000001</v>
      </c>
      <c r="L7" s="1">
        <v>9.1262730000000007E-3</v>
      </c>
      <c r="M7" s="1">
        <v>0.37885561400000001</v>
      </c>
      <c r="R7" s="1">
        <v>1.8423941999999999E-2</v>
      </c>
      <c r="S7" s="1">
        <v>1.8200640000000001E-2</v>
      </c>
      <c r="T7" s="1">
        <v>1.8978265000000001E-2</v>
      </c>
      <c r="U7" s="1">
        <v>3.423723E-2</v>
      </c>
      <c r="V7" s="1">
        <v>1.4681745E-2</v>
      </c>
      <c r="W7" s="1">
        <v>1.84402E-2</v>
      </c>
      <c r="X7" s="1">
        <v>7.2090769999999998E-2</v>
      </c>
      <c r="Y7" s="1">
        <v>0.21119394399999999</v>
      </c>
      <c r="Z7" s="1">
        <v>4.8181822999999999E-2</v>
      </c>
      <c r="AA7" s="1">
        <v>0.140917564</v>
      </c>
      <c r="AB7" s="1">
        <v>6.8215776000000006E-2</v>
      </c>
      <c r="AC7" s="1">
        <v>7.9827436000000002E-2</v>
      </c>
      <c r="AE7" s="1">
        <v>1.8248230000000001E-2</v>
      </c>
      <c r="AF7" s="1">
        <v>8.3235436999999995E-2</v>
      </c>
      <c r="AG7" s="1">
        <v>7.2964270000000003E-3</v>
      </c>
      <c r="AH7" s="1">
        <v>4.5434165999999998E-2</v>
      </c>
      <c r="AI7" s="1">
        <v>1.3797027999999999E-2</v>
      </c>
      <c r="AJ7" s="1">
        <v>2.3880164999999998E-2</v>
      </c>
      <c r="AM7" s="1">
        <v>0.37885561400000001</v>
      </c>
      <c r="AN7" s="1">
        <v>5.5602846999999997E-2</v>
      </c>
      <c r="AO7" s="1">
        <v>6.7359174999999993E-2</v>
      </c>
      <c r="AP7" s="1">
        <v>0.33146653700000001</v>
      </c>
      <c r="AQ7" s="1">
        <v>0.28896077599999997</v>
      </c>
      <c r="AR7" s="1">
        <v>0.10878009399999999</v>
      </c>
      <c r="AS7" s="1">
        <v>5.9231194000000001E-2</v>
      </c>
      <c r="AT7" s="1">
        <v>4.5987462999999999E-2</v>
      </c>
      <c r="AU7" s="1">
        <v>6.3608478999999996E-2</v>
      </c>
      <c r="AV7" s="1">
        <v>0.10556366</v>
      </c>
      <c r="AW7" s="1">
        <v>0.17231037399999999</v>
      </c>
      <c r="AX7" s="1">
        <v>0.33400619999999998</v>
      </c>
      <c r="AY7" s="1">
        <v>0.41577014000000001</v>
      </c>
      <c r="AZ7" s="1">
        <v>0.117095598</v>
      </c>
    </row>
    <row r="8" spans="3:52" hidden="1" x14ac:dyDescent="0.35">
      <c r="C8" s="1">
        <v>0.29221624499999999</v>
      </c>
      <c r="D8" s="1">
        <v>0.237774448</v>
      </c>
      <c r="E8" s="1">
        <v>8.4808374000000006E-2</v>
      </c>
      <c r="F8" s="1">
        <v>0.123815552</v>
      </c>
      <c r="G8" s="1">
        <v>3.3842917E-2</v>
      </c>
      <c r="H8" s="1">
        <v>5.1469590000000004E-3</v>
      </c>
      <c r="I8" s="1">
        <v>0.12805240900000001</v>
      </c>
      <c r="J8" s="1">
        <v>0.345285008</v>
      </c>
      <c r="K8" s="1">
        <v>0.77932477600000005</v>
      </c>
      <c r="L8" s="1">
        <v>7.5739329999999997E-3</v>
      </c>
      <c r="M8" s="1">
        <v>0.51283349700000003</v>
      </c>
      <c r="R8" s="1">
        <v>0.13610882699999999</v>
      </c>
      <c r="S8" s="1">
        <v>0.120332549</v>
      </c>
      <c r="T8" s="1">
        <v>9.7019531000000006E-2</v>
      </c>
      <c r="U8" s="1">
        <v>3.8597023000000001E-2</v>
      </c>
      <c r="V8" s="1">
        <v>1.1705836000000001E-2</v>
      </c>
      <c r="W8" s="1">
        <v>5.5187129999999997E-3</v>
      </c>
      <c r="X8" s="1">
        <v>0.17057729699999999</v>
      </c>
      <c r="Y8" s="1">
        <v>6.2433466E-2</v>
      </c>
      <c r="Z8" s="1">
        <v>9.0169959999999993E-3</v>
      </c>
      <c r="AA8" s="1">
        <v>0.18500741200000001</v>
      </c>
      <c r="AB8" s="1">
        <v>0.101522087</v>
      </c>
      <c r="AC8" s="1">
        <v>7.6446658000000001E-2</v>
      </c>
      <c r="AE8" s="1">
        <v>1.2556942999999999E-2</v>
      </c>
      <c r="AF8" s="1">
        <v>3.6812606999999997E-2</v>
      </c>
      <c r="AG8" s="1">
        <v>3.521597E-3</v>
      </c>
      <c r="AH8" s="1">
        <v>0.30884386400000002</v>
      </c>
      <c r="AI8" s="1">
        <v>0.16886927700000001</v>
      </c>
      <c r="AJ8" s="1">
        <v>1.1970741999999999E-2</v>
      </c>
      <c r="AM8" s="1">
        <v>0.51283349700000003</v>
      </c>
      <c r="AN8" s="1">
        <v>0.35346090699999999</v>
      </c>
      <c r="AO8" s="1">
        <v>5.5821572E-2</v>
      </c>
      <c r="AP8" s="1">
        <v>0.24202775900000001</v>
      </c>
      <c r="AQ8" s="1">
        <v>0.36297615700000002</v>
      </c>
      <c r="AR8" s="1">
        <v>5.2891146999999999E-2</v>
      </c>
      <c r="AS8" s="1">
        <v>0.47771314100000001</v>
      </c>
      <c r="AT8" s="1">
        <v>3.6898607999999999E-2</v>
      </c>
      <c r="AU8" s="1">
        <v>3.6209246E-2</v>
      </c>
      <c r="AV8" s="1">
        <v>1.2195477E-2</v>
      </c>
      <c r="AW8" s="1">
        <v>5.1443409000000002E-2</v>
      </c>
      <c r="AX8" s="1">
        <v>0.355698499</v>
      </c>
      <c r="AY8" s="1">
        <v>0.303431599</v>
      </c>
      <c r="AZ8" s="1">
        <v>0.495615044</v>
      </c>
    </row>
    <row r="9" spans="3:52" hidden="1" x14ac:dyDescent="0.35">
      <c r="C9" s="1">
        <v>0.24590163900000001</v>
      </c>
      <c r="D9" s="1">
        <v>4.098361E-3</v>
      </c>
      <c r="E9" s="1">
        <v>2.4590164000000001E-2</v>
      </c>
      <c r="F9" s="1">
        <v>2.4590164000000001E-2</v>
      </c>
      <c r="K9" s="1">
        <v>6.1475410000000001E-2</v>
      </c>
      <c r="M9" s="1">
        <v>0.35802469100000001</v>
      </c>
      <c r="R9" s="1">
        <v>2.4590164000000001E-2</v>
      </c>
      <c r="S9" s="1">
        <v>2.0491802999999999E-2</v>
      </c>
      <c r="T9" s="1">
        <v>1.2295082000000001E-2</v>
      </c>
      <c r="U9" s="1">
        <v>4.098361E-3</v>
      </c>
      <c r="V9" s="1">
        <v>8.1967210000000006E-3</v>
      </c>
      <c r="X9" s="1">
        <v>7.3770491999999993E-2</v>
      </c>
      <c r="Y9" s="1">
        <v>0.19672131100000001</v>
      </c>
      <c r="Z9" s="1">
        <v>4.098361E-3</v>
      </c>
      <c r="AA9" s="1">
        <v>9.4262294999999996E-2</v>
      </c>
      <c r="AB9" s="1">
        <v>1.6393443000000001E-2</v>
      </c>
      <c r="AC9" s="1">
        <v>7.7868852000000002E-2</v>
      </c>
      <c r="AE9" s="1">
        <v>1.6393443000000001E-2</v>
      </c>
      <c r="AF9" s="1">
        <v>9.8360656000000005E-2</v>
      </c>
      <c r="AH9" s="1">
        <v>6.1475410000000001E-2</v>
      </c>
      <c r="AJ9" s="1">
        <v>5.7377048999999999E-2</v>
      </c>
      <c r="AM9" s="1">
        <v>0.35802469100000001</v>
      </c>
      <c r="AN9" s="1">
        <v>5.7377048999999999E-2</v>
      </c>
      <c r="AO9" s="1">
        <v>1.2295082000000001E-2</v>
      </c>
      <c r="AP9" s="1">
        <v>0.27459016400000003</v>
      </c>
      <c r="AQ9" s="1">
        <v>0.18852458999999999</v>
      </c>
      <c r="AR9" s="1">
        <v>0.114754099</v>
      </c>
      <c r="AS9" s="1">
        <v>6.1475410000000001E-2</v>
      </c>
      <c r="AT9" s="1">
        <v>8.1967212999999997E-2</v>
      </c>
      <c r="AU9" s="1">
        <v>9.0909090999999997E-2</v>
      </c>
      <c r="AV9" s="1">
        <v>4.098361E-3</v>
      </c>
      <c r="AW9" s="1">
        <v>1.6393442000000001E-2</v>
      </c>
      <c r="AX9" s="1">
        <v>0.186440678</v>
      </c>
      <c r="AY9" s="1">
        <v>5.1724138000000003E-2</v>
      </c>
      <c r="AZ9" s="1">
        <v>0.230125523</v>
      </c>
    </row>
    <row r="10" spans="3:52" hidden="1" x14ac:dyDescent="0.35">
      <c r="C10" s="1">
        <v>0.27303493400000001</v>
      </c>
      <c r="D10" s="1">
        <v>0.204084502</v>
      </c>
      <c r="E10" s="1">
        <v>4.2464160000000001E-2</v>
      </c>
      <c r="F10" s="1">
        <v>0.18427094399999999</v>
      </c>
      <c r="G10" s="1">
        <v>6.4620462000000004E-2</v>
      </c>
      <c r="H10" s="1">
        <v>2.0787900000000001E-4</v>
      </c>
      <c r="I10" s="1">
        <v>7.3708051999999996E-2</v>
      </c>
      <c r="J10" s="1">
        <v>0.29901950900000002</v>
      </c>
      <c r="K10" s="1">
        <v>0.75252616400000005</v>
      </c>
      <c r="L10" s="1">
        <v>3.902E-4</v>
      </c>
      <c r="M10" s="1">
        <v>0.54613256200000004</v>
      </c>
      <c r="R10" s="1">
        <v>0.14435155099999999</v>
      </c>
      <c r="S10" s="1">
        <v>9.7050410000000004E-2</v>
      </c>
      <c r="T10" s="1">
        <v>4.4012476000000002E-2</v>
      </c>
      <c r="U10" s="1">
        <v>3.8962709999999998E-2</v>
      </c>
      <c r="V10" s="1">
        <v>1.2560799999999999E-3</v>
      </c>
      <c r="W10" s="1">
        <v>1.9960799999999999E-4</v>
      </c>
      <c r="X10" s="1">
        <v>6.4376298999999998E-2</v>
      </c>
      <c r="Y10" s="1">
        <v>8.2238209999999992E-3</v>
      </c>
      <c r="Z10" s="1">
        <v>7.8744439999999995E-3</v>
      </c>
      <c r="AA10" s="1">
        <v>0.218864064</v>
      </c>
      <c r="AB10" s="1">
        <v>9.0903236999999998E-2</v>
      </c>
      <c r="AC10" s="1">
        <v>4.1246546000000002E-2</v>
      </c>
      <c r="AE10" s="1">
        <v>1.037781E-3</v>
      </c>
      <c r="AF10" s="1">
        <v>2.2371818000000002E-2</v>
      </c>
      <c r="AG10" s="1">
        <v>5.6902400000000001E-4</v>
      </c>
      <c r="AH10" s="1">
        <v>0.194262767</v>
      </c>
      <c r="AI10" s="1">
        <v>0.118111418</v>
      </c>
      <c r="AJ10" s="1">
        <v>3.8145588000000001E-2</v>
      </c>
      <c r="AM10" s="1">
        <v>0.54613256200000004</v>
      </c>
      <c r="AN10" s="1">
        <v>0.28541443700000002</v>
      </c>
      <c r="AO10" s="1">
        <v>4.0418398000000001E-2</v>
      </c>
      <c r="AP10" s="1">
        <v>8.0474563999999998E-2</v>
      </c>
      <c r="AQ10" s="1">
        <v>0.35101384699999999</v>
      </c>
      <c r="AR10" s="1">
        <v>2.3978623000000001E-2</v>
      </c>
      <c r="AS10" s="1">
        <v>0.31237418500000003</v>
      </c>
      <c r="AT10" s="1">
        <v>5.6498261000000001E-2</v>
      </c>
      <c r="AU10" s="1">
        <v>4.9675564999999998E-2</v>
      </c>
      <c r="AV10" s="1">
        <v>1.7344560000000001E-3</v>
      </c>
      <c r="AW10" s="1">
        <v>0.13299503600000001</v>
      </c>
      <c r="AX10" s="1">
        <v>0.169434961</v>
      </c>
      <c r="AY10" s="1">
        <v>0.19720579399999999</v>
      </c>
      <c r="AZ10" s="1">
        <v>0.45481919700000001</v>
      </c>
    </row>
    <row r="11" spans="3:52" hidden="1" x14ac:dyDescent="0.35">
      <c r="C11" s="1">
        <v>0.3</v>
      </c>
      <c r="D11" s="1">
        <v>5.8823528999999999E-2</v>
      </c>
      <c r="E11" s="1">
        <v>1.1764706E-2</v>
      </c>
      <c r="F11" s="1">
        <v>4.7058823999999999E-2</v>
      </c>
      <c r="G11" s="1">
        <v>3.5294117999999999E-2</v>
      </c>
      <c r="J11" s="1">
        <v>0.26315789499999998</v>
      </c>
      <c r="K11" s="1">
        <v>0.12352941200000001</v>
      </c>
      <c r="M11" s="1">
        <v>0.37058823499999999</v>
      </c>
      <c r="R11" s="1">
        <v>5.8823529999999999E-3</v>
      </c>
      <c r="U11" s="1">
        <v>4.7058823999999999E-2</v>
      </c>
      <c r="V11" s="1">
        <v>4.7058823999999999E-2</v>
      </c>
      <c r="W11" s="1">
        <v>0.11176470600000001</v>
      </c>
      <c r="X11" s="1">
        <v>1.1764706E-2</v>
      </c>
      <c r="Y11" s="1">
        <v>0.3</v>
      </c>
      <c r="Z11" s="1">
        <v>2.3529412E-2</v>
      </c>
      <c r="AA11" s="1">
        <v>0.2</v>
      </c>
      <c r="AB11" s="1">
        <v>4.7058823999999999E-2</v>
      </c>
      <c r="AC11" s="1">
        <v>5.2941176E-2</v>
      </c>
      <c r="AE11" s="1">
        <v>2.9411764999999999E-2</v>
      </c>
      <c r="AF11" s="1">
        <v>6.4705882000000006E-2</v>
      </c>
      <c r="AG11" s="1">
        <v>5.8823529999999999E-3</v>
      </c>
      <c r="AH11" s="1">
        <v>0.15294117600000001</v>
      </c>
      <c r="AI11" s="1">
        <v>4.7058823999999999E-2</v>
      </c>
      <c r="AJ11" s="1">
        <v>8.8235294000000006E-2</v>
      </c>
      <c r="AM11" s="1">
        <v>0.37058823499999999</v>
      </c>
      <c r="AN11" s="1">
        <v>5.8823529999999999E-3</v>
      </c>
      <c r="AO11" s="1">
        <v>0.20588235399999999</v>
      </c>
      <c r="AP11" s="1">
        <v>0.33529411799999997</v>
      </c>
      <c r="AQ11" s="1">
        <v>0.3</v>
      </c>
      <c r="AR11" s="1">
        <v>0.1</v>
      </c>
      <c r="AS11" s="1">
        <v>0.2</v>
      </c>
      <c r="AT11" s="1">
        <v>0.12941176500000001</v>
      </c>
      <c r="AU11" s="1">
        <v>0.178571429</v>
      </c>
      <c r="AV11" s="1">
        <v>0</v>
      </c>
      <c r="AW11" s="1">
        <v>0.264705882</v>
      </c>
      <c r="AX11" s="1">
        <v>0.39759036199999997</v>
      </c>
      <c r="AY11" s="1">
        <v>0.63725490200000001</v>
      </c>
      <c r="AZ11" s="1">
        <v>0.109090909</v>
      </c>
    </row>
    <row r="12" spans="3:52" hidden="1" x14ac:dyDescent="0.35">
      <c r="C12" s="1">
        <v>0.32685671799999999</v>
      </c>
      <c r="D12" s="1">
        <v>0.26343826599999998</v>
      </c>
      <c r="E12" s="1">
        <v>7.8221157999999999E-2</v>
      </c>
      <c r="F12" s="1">
        <v>0.10413375900000001</v>
      </c>
      <c r="G12" s="1">
        <v>3.2939395000000003E-2</v>
      </c>
      <c r="H12" s="1">
        <v>1.9877359999999999E-3</v>
      </c>
      <c r="I12" s="1">
        <v>0.100559116</v>
      </c>
      <c r="J12" s="1">
        <v>0.438000801</v>
      </c>
      <c r="K12" s="1">
        <v>0.73791857000000005</v>
      </c>
      <c r="L12" s="1">
        <v>2.2108342999999999E-2</v>
      </c>
      <c r="M12" s="1">
        <v>0.50987056500000005</v>
      </c>
      <c r="R12" s="1">
        <v>9.6319963999999994E-2</v>
      </c>
      <c r="S12" s="1">
        <v>0.12939378300000001</v>
      </c>
      <c r="T12" s="1">
        <v>0.176452423</v>
      </c>
      <c r="U12" s="1">
        <v>2.191825E-2</v>
      </c>
      <c r="V12" s="1">
        <v>1.3440952000000001E-2</v>
      </c>
      <c r="W12" s="1">
        <v>2.1718099999999999E-4</v>
      </c>
      <c r="X12" s="1">
        <v>0.13633124099999999</v>
      </c>
      <c r="Y12" s="1">
        <v>3.2418029000000001E-2</v>
      </c>
      <c r="Z12" s="1">
        <v>9.7504459999999994E-3</v>
      </c>
      <c r="AA12" s="1">
        <v>0.20134844700000001</v>
      </c>
      <c r="AB12" s="1">
        <v>0.101186471</v>
      </c>
      <c r="AC12" s="1">
        <v>5.3929022E-2</v>
      </c>
      <c r="AE12" s="1">
        <v>4.0951959999999997E-3</v>
      </c>
      <c r="AF12" s="1">
        <v>5.0300997E-2</v>
      </c>
      <c r="AG12" s="1">
        <v>1.6488690000000001E-3</v>
      </c>
      <c r="AH12" s="1">
        <v>0.21833022299999999</v>
      </c>
      <c r="AI12" s="1">
        <v>0.107540844</v>
      </c>
      <c r="AJ12" s="1">
        <v>0.108073714</v>
      </c>
      <c r="AM12" s="1">
        <v>0.50987056500000005</v>
      </c>
      <c r="AN12" s="1">
        <v>0.40216616999999999</v>
      </c>
      <c r="AO12" s="1">
        <v>3.5576383000000003E-2</v>
      </c>
      <c r="AP12" s="1">
        <v>0.178499716</v>
      </c>
      <c r="AQ12" s="1">
        <v>0.35646393999999998</v>
      </c>
      <c r="AR12" s="1">
        <v>5.6045062E-2</v>
      </c>
      <c r="AS12" s="1">
        <v>0.32587106700000001</v>
      </c>
      <c r="AT12" s="1">
        <v>0.165619713</v>
      </c>
      <c r="AU12" s="1">
        <v>0.14274551999999999</v>
      </c>
      <c r="AV12" s="1">
        <v>2.8935816999999999E-2</v>
      </c>
      <c r="AW12" s="1">
        <v>6.9605238E-2</v>
      </c>
      <c r="AX12" s="1">
        <v>0.33761117699999998</v>
      </c>
      <c r="AY12" s="1">
        <v>0.330168666</v>
      </c>
      <c r="AZ12" s="1">
        <v>0.535694903</v>
      </c>
    </row>
    <row r="13" spans="3:52" hidden="1" x14ac:dyDescent="0.35">
      <c r="C13" s="1">
        <v>0.22165359500000001</v>
      </c>
      <c r="D13" s="1">
        <v>0.20447515099999999</v>
      </c>
      <c r="E13" s="1">
        <v>7.8027281000000004E-2</v>
      </c>
      <c r="F13" s="1">
        <v>0.19016074999999999</v>
      </c>
      <c r="G13" s="1">
        <v>3.3392360000000003E-2</v>
      </c>
      <c r="H13" s="1">
        <v>1.028883E-3</v>
      </c>
      <c r="I13" s="1">
        <v>6.8881285E-2</v>
      </c>
      <c r="J13" s="1">
        <v>0.142653743</v>
      </c>
      <c r="K13" s="1">
        <v>0.78774329899999995</v>
      </c>
      <c r="L13" s="1">
        <v>5.712361E-3</v>
      </c>
      <c r="M13" s="1">
        <v>0.52485175799999995</v>
      </c>
      <c r="R13" s="1">
        <v>0.148725998</v>
      </c>
      <c r="S13" s="1">
        <v>0.17355379100000001</v>
      </c>
      <c r="T13" s="1">
        <v>0.107163309</v>
      </c>
      <c r="U13" s="1">
        <v>3.5432950999999997E-2</v>
      </c>
      <c r="V13" s="1">
        <v>3.2548665999999997E-2</v>
      </c>
      <c r="W13" s="1">
        <v>2.3666916999999999E-2</v>
      </c>
      <c r="X13" s="1">
        <v>0.19894361199999999</v>
      </c>
      <c r="Y13" s="1">
        <v>6.0507890000000002E-2</v>
      </c>
      <c r="Z13" s="1">
        <v>2.1037200000000001E-4</v>
      </c>
      <c r="AA13" s="1">
        <v>0.19088713700000001</v>
      </c>
      <c r="AB13" s="1">
        <v>7.3005107E-2</v>
      </c>
      <c r="AC13" s="1">
        <v>4.9578102999999998E-2</v>
      </c>
      <c r="AE13" s="1">
        <v>1.0012630000000001E-3</v>
      </c>
      <c r="AF13" s="1">
        <v>4.1256940999999998E-2</v>
      </c>
      <c r="AG13" s="1">
        <v>1.028883E-3</v>
      </c>
      <c r="AH13" s="1">
        <v>0.27883943700000002</v>
      </c>
      <c r="AI13" s="1">
        <v>0.102575716</v>
      </c>
      <c r="AJ13" s="1">
        <v>1.0783689000000001E-2</v>
      </c>
      <c r="AM13" s="1">
        <v>0.52485175799999995</v>
      </c>
      <c r="AN13" s="1">
        <v>0.42944309800000002</v>
      </c>
      <c r="AO13" s="1">
        <v>9.1648534000000004E-2</v>
      </c>
      <c r="AP13" s="1">
        <v>0.25966187400000001</v>
      </c>
      <c r="AQ13" s="1">
        <v>0.31347034699999998</v>
      </c>
      <c r="AR13" s="1">
        <v>4.3287087000000002E-2</v>
      </c>
      <c r="AS13" s="1">
        <v>0.38141515300000001</v>
      </c>
      <c r="AT13" s="1">
        <v>4.6690007999999998E-2</v>
      </c>
      <c r="AU13" s="1">
        <v>4.5805475999999998E-2</v>
      </c>
      <c r="AV13" s="1">
        <v>5.8795380000000001E-3</v>
      </c>
      <c r="AW13" s="1">
        <v>5.0571985E-2</v>
      </c>
      <c r="AX13" s="1">
        <v>0.26715407499999999</v>
      </c>
      <c r="AY13" s="1">
        <v>0.21829061599999999</v>
      </c>
      <c r="AZ13" s="1">
        <v>0.379182825</v>
      </c>
    </row>
    <row r="14" spans="3:52" hidden="1" x14ac:dyDescent="0.35">
      <c r="C14" s="1">
        <v>0.29471078299999998</v>
      </c>
      <c r="D14" s="1">
        <v>0.30622281299999998</v>
      </c>
      <c r="E14" s="1">
        <v>3.5971219999999998E-2</v>
      </c>
      <c r="F14" s="1">
        <v>0.16895901399999999</v>
      </c>
      <c r="G14" s="1">
        <v>7.4659977000000002E-2</v>
      </c>
      <c r="H14" s="1">
        <v>2.9781320000000001E-3</v>
      </c>
      <c r="I14" s="1">
        <v>0.18057082199999999</v>
      </c>
      <c r="J14" s="1">
        <v>0.372338738</v>
      </c>
      <c r="K14" s="1">
        <v>0.86151008900000003</v>
      </c>
      <c r="L14" s="1">
        <v>1.8525435999999999E-2</v>
      </c>
      <c r="M14" s="1">
        <v>0.54920662799999997</v>
      </c>
      <c r="R14" s="1">
        <v>0.145727046</v>
      </c>
      <c r="S14" s="1">
        <v>7.0467527000000002E-2</v>
      </c>
      <c r="T14" s="1">
        <v>0.18716902799999999</v>
      </c>
      <c r="U14" s="1">
        <v>6.4368092000000002E-2</v>
      </c>
      <c r="V14" s="1">
        <v>2.5999596E-2</v>
      </c>
      <c r="W14" s="1">
        <v>2.7210910000000001E-3</v>
      </c>
      <c r="X14" s="1">
        <v>0.26400876499999998</v>
      </c>
      <c r="Y14" s="1">
        <v>9.0113478999999996E-2</v>
      </c>
      <c r="Z14" s="1">
        <v>1.0026503000000001E-2</v>
      </c>
      <c r="AA14" s="1">
        <v>0.18598028799999999</v>
      </c>
      <c r="AB14" s="1">
        <v>0.106067115</v>
      </c>
      <c r="AC14" s="1">
        <v>3.7244528999999998E-2</v>
      </c>
      <c r="AE14" s="1">
        <v>8.6371009999999995E-3</v>
      </c>
      <c r="AF14" s="1">
        <v>2.0509375999999999E-2</v>
      </c>
      <c r="AH14" s="1">
        <v>0.23137713700000001</v>
      </c>
      <c r="AI14" s="1">
        <v>0.19850986600000001</v>
      </c>
      <c r="AJ14" s="1">
        <v>1.0666297999999999E-2</v>
      </c>
      <c r="AM14" s="1">
        <v>0.54920662799999997</v>
      </c>
      <c r="AN14" s="1">
        <v>0.40336360100000002</v>
      </c>
      <c r="AO14" s="1">
        <v>9.3088778999999996E-2</v>
      </c>
      <c r="AP14" s="1">
        <v>0.36414874699999999</v>
      </c>
      <c r="AQ14" s="1">
        <v>0.32929193200000001</v>
      </c>
      <c r="AR14" s="1">
        <v>2.9146477E-2</v>
      </c>
      <c r="AS14" s="1">
        <v>0.42988700299999999</v>
      </c>
      <c r="AT14" s="1">
        <v>3.1447390999999998E-2</v>
      </c>
      <c r="AU14" s="1">
        <v>3.1228530000000001E-2</v>
      </c>
      <c r="AV14" s="1">
        <v>1.5915691999999999E-2</v>
      </c>
      <c r="AW14" s="1">
        <v>9.3791846999999998E-2</v>
      </c>
      <c r="AX14" s="1">
        <v>0.350622516</v>
      </c>
      <c r="AY14" s="1">
        <v>0.21924043700000001</v>
      </c>
      <c r="AZ14" s="1">
        <v>0.477971755</v>
      </c>
    </row>
    <row r="17" spans="1:45" ht="15" customHeight="1" x14ac:dyDescent="0.35">
      <c r="B17" s="119" t="s">
        <v>67</v>
      </c>
      <c r="C17" s="120"/>
      <c r="D17" s="120"/>
      <c r="E17" s="120"/>
      <c r="F17" s="120"/>
      <c r="G17" s="121"/>
    </row>
    <row r="18" spans="1:45" ht="15" customHeight="1" x14ac:dyDescent="0.35">
      <c r="B18" s="122"/>
      <c r="C18" s="123"/>
      <c r="D18" s="123"/>
      <c r="E18" s="123"/>
      <c r="F18" s="123"/>
      <c r="G18" s="124"/>
    </row>
    <row r="19" spans="1:45" ht="18.5" x14ac:dyDescent="0.45">
      <c r="Z19" s="125" t="s">
        <v>68</v>
      </c>
      <c r="AA19" s="125"/>
      <c r="AB19" s="125"/>
      <c r="AC19" s="125"/>
      <c r="AD19" s="125"/>
      <c r="AE19" s="125"/>
      <c r="AF19" s="125"/>
      <c r="AG19" s="125"/>
      <c r="AH19" s="125"/>
      <c r="AI19" s="125"/>
      <c r="AJ19" s="125"/>
      <c r="AK19" s="125"/>
      <c r="AL19" s="125"/>
    </row>
    <row r="20" spans="1:45" s="20" customFormat="1" ht="52.5" customHeight="1" x14ac:dyDescent="0.35">
      <c r="A20" s="2">
        <v>1</v>
      </c>
      <c r="B20" s="3" t="s">
        <v>69</v>
      </c>
      <c r="C20" s="4" t="s">
        <v>70</v>
      </c>
      <c r="D20" s="3" t="s">
        <v>71</v>
      </c>
      <c r="E20" s="5" t="s">
        <v>72</v>
      </c>
      <c r="F20" s="5" t="s">
        <v>73</v>
      </c>
      <c r="G20" s="5" t="s">
        <v>74</v>
      </c>
      <c r="H20" s="4" t="s">
        <v>75</v>
      </c>
      <c r="I20" s="6" t="s">
        <v>76</v>
      </c>
      <c r="J20" s="7" t="s">
        <v>77</v>
      </c>
      <c r="K20" s="8" t="s">
        <v>78</v>
      </c>
      <c r="L20" s="8" t="s">
        <v>79</v>
      </c>
      <c r="M20" s="9" t="s">
        <v>80</v>
      </c>
      <c r="N20" s="10" t="s">
        <v>81</v>
      </c>
      <c r="O20" s="10" t="s">
        <v>82</v>
      </c>
      <c r="P20" s="8" t="s">
        <v>83</v>
      </c>
      <c r="Q20" s="8" t="s">
        <v>84</v>
      </c>
      <c r="R20" s="8" t="s">
        <v>85</v>
      </c>
      <c r="S20" s="11" t="s">
        <v>86</v>
      </c>
      <c r="T20" s="12" t="s">
        <v>87</v>
      </c>
      <c r="U20" s="12" t="s">
        <v>88</v>
      </c>
      <c r="V20" s="12" t="s">
        <v>89</v>
      </c>
      <c r="W20" s="12" t="s">
        <v>90</v>
      </c>
      <c r="X20" s="11" t="s">
        <v>91</v>
      </c>
      <c r="Y20" s="12" t="s">
        <v>92</v>
      </c>
      <c r="Z20" s="11" t="s">
        <v>93</v>
      </c>
      <c r="AA20" s="13" t="s">
        <v>94</v>
      </c>
      <c r="AB20" s="14" t="s">
        <v>95</v>
      </c>
      <c r="AC20" s="15" t="s">
        <v>96</v>
      </c>
      <c r="AD20" s="15" t="s">
        <v>97</v>
      </c>
      <c r="AE20" s="15" t="s">
        <v>98</v>
      </c>
      <c r="AF20" s="15" t="s">
        <v>99</v>
      </c>
      <c r="AG20" s="16" t="s">
        <v>100</v>
      </c>
      <c r="AH20" s="17" t="s">
        <v>101</v>
      </c>
      <c r="AI20" s="18" t="s">
        <v>102</v>
      </c>
      <c r="AJ20" s="19" t="s">
        <v>103</v>
      </c>
      <c r="AK20" s="6" t="s">
        <v>104</v>
      </c>
      <c r="AL20" s="18" t="s">
        <v>105</v>
      </c>
      <c r="AM20" s="109" t="s">
        <v>106</v>
      </c>
      <c r="AN20" s="110" t="s">
        <v>107</v>
      </c>
      <c r="AO20" s="110" t="s">
        <v>5</v>
      </c>
      <c r="AP20" s="110" t="s">
        <v>3</v>
      </c>
      <c r="AQ20" s="110" t="s">
        <v>7</v>
      </c>
      <c r="AR20" s="111" t="s">
        <v>6</v>
      </c>
    </row>
    <row r="21" spans="1:45" ht="15.5" x14ac:dyDescent="0.35">
      <c r="B21" s="21">
        <v>1</v>
      </c>
      <c r="C21" s="22" t="s">
        <v>108</v>
      </c>
      <c r="D21" s="22" t="s">
        <v>109</v>
      </c>
      <c r="E21" s="23">
        <v>2393430</v>
      </c>
      <c r="F21" s="23">
        <v>2445606.7740000002</v>
      </c>
      <c r="G21" s="23">
        <f t="shared" ref="G21:G29" si="0">F21*H21</f>
        <v>585502.30690140184</v>
      </c>
      <c r="H21" s="24">
        <f t="shared" ref="H21:H29" si="1">M21+L21+K21</f>
        <v>0.23940983199999993</v>
      </c>
      <c r="I21" s="25">
        <f>N21/$F21</f>
        <v>0.24689754499999997</v>
      </c>
      <c r="J21" s="25">
        <f>O21/$F21</f>
        <v>0.51369262299999996</v>
      </c>
      <c r="K21" s="25">
        <f>P21/$F21</f>
        <v>0.19678250024999996</v>
      </c>
      <c r="L21" s="25">
        <f>Q21/$F21</f>
        <v>3.5755911499999959E-2</v>
      </c>
      <c r="M21" s="25">
        <f>R21/$F21</f>
        <v>6.8714202500000099E-3</v>
      </c>
      <c r="N21" s="26">
        <v>603814.30853596982</v>
      </c>
      <c r="O21" s="26">
        <v>1256290.1585626283</v>
      </c>
      <c r="P21" s="26">
        <v>481252.61561605666</v>
      </c>
      <c r="Q21" s="26">
        <v>87444.899374944405</v>
      </c>
      <c r="R21" s="27">
        <v>16804.7919104008</v>
      </c>
      <c r="S21" s="28">
        <f>G62*G21</f>
        <v>141986.04202117096</v>
      </c>
      <c r="T21" s="28">
        <f>G63*G21</f>
        <v>136325.05083518333</v>
      </c>
      <c r="U21" s="28">
        <f>$G$64*G21</f>
        <v>156500.91295570254</v>
      </c>
      <c r="V21" s="28">
        <f>$G$65*G21</f>
        <v>150261.21307936442</v>
      </c>
      <c r="W21" s="28">
        <f>$G$66*G21</f>
        <v>20848.428653964358</v>
      </c>
      <c r="X21" s="29">
        <v>0.31179466500000003</v>
      </c>
      <c r="Y21" s="30">
        <v>102369.26919222742</v>
      </c>
      <c r="Z21" s="29">
        <v>0.228137381</v>
      </c>
      <c r="AA21" s="30">
        <v>483031.64132871153</v>
      </c>
      <c r="AB21" s="23">
        <v>98151.889530307148</v>
      </c>
      <c r="AC21" s="29">
        <v>0.44593291200000001</v>
      </c>
      <c r="AD21" s="26">
        <f>(F21*0.183)</f>
        <v>447546.03964200005</v>
      </c>
      <c r="AE21" s="23">
        <f>AF21*AD21</f>
        <v>99174.50036707845</v>
      </c>
      <c r="AF21" s="29">
        <v>0.22159619699999999</v>
      </c>
      <c r="AG21" s="23">
        <f t="shared" ref="AG21:AG30" si="2">AE21+AB21</f>
        <v>197326.38989738561</v>
      </c>
      <c r="AH21" s="29">
        <f t="shared" ref="AH21:AH30" si="3">AG21/G21</f>
        <v>0.33702068731663465</v>
      </c>
      <c r="AI21" s="31">
        <f t="shared" ref="AI21:AI29" si="4">G21-AG21</f>
        <v>388175.91700401623</v>
      </c>
      <c r="AJ21" s="29">
        <f>AI21/G21</f>
        <v>0.6629793126833653</v>
      </c>
      <c r="AK21" s="29">
        <f>AL21/G21</f>
        <v>0.15994057941739015</v>
      </c>
      <c r="AL21" s="23">
        <v>93645.578216028807</v>
      </c>
      <c r="AM21" s="67">
        <f>[1]Education!H21</f>
        <v>66679</v>
      </c>
      <c r="AN21" s="59">
        <f>[1]FSS!G21</f>
        <v>285032</v>
      </c>
      <c r="AO21" s="59">
        <f>[1]PROTECTION!G21</f>
        <v>526829.067433169</v>
      </c>
      <c r="AP21" s="59">
        <f>[1]HEALTH!G21</f>
        <v>426465</v>
      </c>
      <c r="AQ21" s="59">
        <f>[1]WASH!G21</f>
        <v>538323</v>
      </c>
      <c r="AR21" s="68">
        <f>[1]Shelter!G21</f>
        <v>22113</v>
      </c>
      <c r="AS21" s="59"/>
    </row>
    <row r="22" spans="1:45" ht="15.5" x14ac:dyDescent="0.35">
      <c r="B22" s="21">
        <v>2</v>
      </c>
      <c r="C22" s="22" t="s">
        <v>108</v>
      </c>
      <c r="D22" s="22" t="s">
        <v>110</v>
      </c>
      <c r="E22" s="23">
        <v>369489</v>
      </c>
      <c r="F22" s="23">
        <v>377543.8602</v>
      </c>
      <c r="G22" s="23">
        <f t="shared" si="0"/>
        <v>100179.26194406713</v>
      </c>
      <c r="H22" s="24">
        <f t="shared" si="1"/>
        <v>0.26534469900000013</v>
      </c>
      <c r="I22" s="25">
        <f t="shared" ref="I22:M29" si="5">N22/$F22</f>
        <v>0.243005204</v>
      </c>
      <c r="J22" s="25">
        <f t="shared" si="5"/>
        <v>0.49165009600000004</v>
      </c>
      <c r="K22" s="25">
        <f t="shared" si="5"/>
        <v>0.22455228360000012</v>
      </c>
      <c r="L22" s="25">
        <f t="shared" si="5"/>
        <v>3.3946213500000016E-2</v>
      </c>
      <c r="M22" s="25">
        <f t="shared" si="5"/>
        <v>6.8462018999999987E-3</v>
      </c>
      <c r="N22" s="26">
        <v>91745.122766848479</v>
      </c>
      <c r="O22" s="26">
        <v>185619.47511154058</v>
      </c>
      <c r="P22" s="26">
        <v>84778.335967069201</v>
      </c>
      <c r="Q22" s="26">
        <v>12816.18448396336</v>
      </c>
      <c r="R22" s="27">
        <v>2584.741493034574</v>
      </c>
      <c r="S22" s="28">
        <f>G62*G22</f>
        <v>24293.76746834155</v>
      </c>
      <c r="T22" s="28">
        <f>G63*G22</f>
        <v>23325.173643518912</v>
      </c>
      <c r="U22" s="28">
        <f>$G$64*G22</f>
        <v>26777.257354367968</v>
      </c>
      <c r="V22" s="28">
        <f>$G$65*G22</f>
        <v>25709.646653272463</v>
      </c>
      <c r="W22" s="28">
        <f>$G$66*G22</f>
        <v>3567.1596347773329</v>
      </c>
      <c r="X22" s="29">
        <v>0.33386331200000002</v>
      </c>
      <c r="Y22" s="30">
        <v>13593.70418187448</v>
      </c>
      <c r="Z22" s="29">
        <v>0.25706203399999999</v>
      </c>
      <c r="AA22" s="30">
        <v>86585.558166390882</v>
      </c>
      <c r="AB22" s="23">
        <v>22449.395825598189</v>
      </c>
      <c r="AC22" s="29">
        <v>0.66068543999999996</v>
      </c>
      <c r="AD22" s="26">
        <f t="shared" ref="AD22:AD24" si="6">F22*0.183</f>
        <v>69090.526416599998</v>
      </c>
      <c r="AE22" s="23">
        <f t="shared" ref="AE22:AE29" si="7">AF22*AD22</f>
        <v>16243.805818909885</v>
      </c>
      <c r="AF22" s="29">
        <v>0.235109018</v>
      </c>
      <c r="AG22" s="23">
        <f t="shared" si="2"/>
        <v>38693.201644508074</v>
      </c>
      <c r="AH22" s="29">
        <f t="shared" si="3"/>
        <v>0.38623963576525017</v>
      </c>
      <c r="AI22" s="31">
        <f t="shared" si="4"/>
        <v>61486.060299559053</v>
      </c>
      <c r="AJ22" s="29">
        <f t="shared" ref="AJ22:AJ29" si="8">AI22/G22</f>
        <v>0.61376036423474989</v>
      </c>
      <c r="AK22" s="29">
        <f t="shared" ref="AK22:AK29" si="9">AL22/G22</f>
        <v>0.11974578429810648</v>
      </c>
      <c r="AL22" s="23">
        <v>11996.04429189777</v>
      </c>
      <c r="AM22" s="67">
        <f>[1]Education!H22</f>
        <v>71804</v>
      </c>
      <c r="AN22" s="59">
        <f>[1]FSS!G22</f>
        <v>48576</v>
      </c>
      <c r="AO22" s="59">
        <f>[1]PROTECTION!G22</f>
        <v>99201.341117479722</v>
      </c>
      <c r="AP22" s="59">
        <f>[1]HEALTH!G22</f>
        <v>163827</v>
      </c>
      <c r="AQ22" s="59">
        <f>[1]WASH!G22</f>
        <v>86357</v>
      </c>
      <c r="AR22" s="68">
        <f>[1]Shelter!G22</f>
        <v>28477</v>
      </c>
      <c r="AS22" s="59"/>
    </row>
    <row r="23" spans="1:45" ht="15.5" x14ac:dyDescent="0.35">
      <c r="B23" s="21">
        <v>3</v>
      </c>
      <c r="C23" s="22" t="s">
        <v>111</v>
      </c>
      <c r="D23" s="22" t="s">
        <v>112</v>
      </c>
      <c r="E23" s="23">
        <v>308765</v>
      </c>
      <c r="F23" s="23">
        <v>319208</v>
      </c>
      <c r="G23" s="23">
        <f t="shared" si="0"/>
        <v>196248.78057893598</v>
      </c>
      <c r="H23" s="24">
        <f t="shared" si="1"/>
        <v>0.61479906699999998</v>
      </c>
      <c r="I23" s="25">
        <f t="shared" si="5"/>
        <v>4.7261445999999999E-2</v>
      </c>
      <c r="J23" s="25">
        <f t="shared" si="5"/>
        <v>0.33793948699999998</v>
      </c>
      <c r="K23" s="25">
        <f t="shared" si="5"/>
        <v>0.30917791979999998</v>
      </c>
      <c r="L23" s="25">
        <f t="shared" si="5"/>
        <v>0.28017863500000001</v>
      </c>
      <c r="M23" s="25">
        <f t="shared" si="5"/>
        <v>2.5442512200000003E-2</v>
      </c>
      <c r="N23" s="26">
        <v>15086.231654768</v>
      </c>
      <c r="O23" s="26">
        <v>107872.98776629599</v>
      </c>
      <c r="P23" s="26">
        <v>98692.06542351839</v>
      </c>
      <c r="Q23" s="26">
        <v>89435.261721079994</v>
      </c>
      <c r="R23" s="27">
        <v>8121.4534343376008</v>
      </c>
      <c r="S23" s="28">
        <f>G23*F62</f>
        <v>51583.777004588366</v>
      </c>
      <c r="T23" s="28">
        <f>F63*G23</f>
        <v>50163.33917515316</v>
      </c>
      <c r="U23" s="28">
        <f>$F$64*G23</f>
        <v>47801.7923344636</v>
      </c>
      <c r="V23" s="28">
        <f>$F$65*G23</f>
        <v>46485.497210501693</v>
      </c>
      <c r="W23" s="28">
        <f>$F$66*G23</f>
        <v>5402.8737651725496</v>
      </c>
      <c r="X23" s="29">
        <v>0.684651546</v>
      </c>
      <c r="Y23" s="30">
        <v>20320.430389673911</v>
      </c>
      <c r="Z23" s="29">
        <v>0.607639861</v>
      </c>
      <c r="AA23" s="30">
        <v>175928.7780784248</v>
      </c>
      <c r="AB23" s="23">
        <v>39882.840767612797</v>
      </c>
      <c r="AC23" s="29">
        <v>0.54323091999999995</v>
      </c>
      <c r="AD23" s="26">
        <f>F23*0.45</f>
        <v>143643.6</v>
      </c>
      <c r="AE23" s="23">
        <f t="shared" si="7"/>
        <v>84677.952331616412</v>
      </c>
      <c r="AF23" s="29">
        <v>0.58950034900000003</v>
      </c>
      <c r="AG23" s="23">
        <f t="shared" si="2"/>
        <v>124560.79309922921</v>
      </c>
      <c r="AH23" s="29">
        <f t="shared" si="3"/>
        <v>0.63470862204480227</v>
      </c>
      <c r="AI23" s="31">
        <f t="shared" si="4"/>
        <v>71687.987479706775</v>
      </c>
      <c r="AJ23" s="29">
        <f t="shared" si="8"/>
        <v>0.36529137795519773</v>
      </c>
      <c r="AK23" s="29">
        <f t="shared" si="9"/>
        <v>0.22014943687869978</v>
      </c>
      <c r="AL23" s="23">
        <v>43204.058532584269</v>
      </c>
      <c r="AM23" s="67">
        <f>[1]Education!H23</f>
        <v>48626</v>
      </c>
      <c r="AN23" s="59">
        <f>[1]FSS!G23</f>
        <v>168111</v>
      </c>
      <c r="AO23" s="59">
        <f>[1]PROTECTION!G23</f>
        <v>159604</v>
      </c>
      <c r="AP23" s="59">
        <f>[1]HEALTH!G23</f>
        <v>121371</v>
      </c>
      <c r="AQ23" s="59">
        <f>[1]WASH!G23</f>
        <v>85294</v>
      </c>
      <c r="AR23" s="68">
        <f>[1]Shelter!G23</f>
        <v>74284</v>
      </c>
      <c r="AS23" s="59"/>
    </row>
    <row r="24" spans="1:45" ht="15.5" x14ac:dyDescent="0.35">
      <c r="B24" s="21">
        <v>4</v>
      </c>
      <c r="C24" s="22" t="s">
        <v>108</v>
      </c>
      <c r="D24" s="22" t="s">
        <v>113</v>
      </c>
      <c r="E24" s="23">
        <v>381737</v>
      </c>
      <c r="F24" s="23">
        <v>390020.69290000002</v>
      </c>
      <c r="G24" s="23">
        <f t="shared" si="0"/>
        <v>107095.84602680465</v>
      </c>
      <c r="H24" s="24">
        <f t="shared" si="1"/>
        <v>0.27459016400000003</v>
      </c>
      <c r="I24" s="25">
        <f t="shared" si="5"/>
        <v>0.32786885199999999</v>
      </c>
      <c r="J24" s="25">
        <f t="shared" si="5"/>
        <v>0.39754098399999999</v>
      </c>
      <c r="K24" s="25">
        <f t="shared" si="5"/>
        <v>0.25081967180000003</v>
      </c>
      <c r="L24" s="25">
        <f t="shared" si="5"/>
        <v>1.6393443000000008E-2</v>
      </c>
      <c r="M24" s="25">
        <f t="shared" si="5"/>
        <v>7.3770491999999993E-3</v>
      </c>
      <c r="N24" s="26">
        <v>127875.63683736755</v>
      </c>
      <c r="O24" s="26">
        <v>155049.21003582783</v>
      </c>
      <c r="P24" s="26">
        <v>97824.862188386614</v>
      </c>
      <c r="Q24" s="26">
        <v>6393.7819978766574</v>
      </c>
      <c r="R24" s="27">
        <v>2877.2018405413905</v>
      </c>
      <c r="S24" s="28">
        <f>G62*G24</f>
        <v>25971.059575714768</v>
      </c>
      <c r="T24" s="28">
        <f>G63*G24</f>
        <v>24935.592023721463</v>
      </c>
      <c r="U24" s="28">
        <f>$G$64*G24</f>
        <v>28626.014755874821</v>
      </c>
      <c r="V24" s="28">
        <f>$G$65*G24</f>
        <v>27484.693997044207</v>
      </c>
      <c r="W24" s="28">
        <f>$G$66*G24</f>
        <v>3813.4437366133002</v>
      </c>
      <c r="X24" s="29">
        <v>0.19047618999999999</v>
      </c>
      <c r="Y24" s="30">
        <v>12787.563703770606</v>
      </c>
      <c r="Z24" s="29">
        <v>0.29207920799999998</v>
      </c>
      <c r="AA24" s="30">
        <v>94308.282272875542</v>
      </c>
      <c r="AB24" s="23">
        <v>10969.3319878125</v>
      </c>
      <c r="AC24" s="29">
        <v>0.3125</v>
      </c>
      <c r="AD24" s="26">
        <f t="shared" si="6"/>
        <v>71373.786800700007</v>
      </c>
      <c r="AE24" s="23">
        <f t="shared" si="7"/>
        <v>21722.456846180543</v>
      </c>
      <c r="AF24" s="29">
        <v>0.30434782599999999</v>
      </c>
      <c r="AG24" s="23">
        <f t="shared" si="2"/>
        <v>32691.788833993043</v>
      </c>
      <c r="AH24" s="29">
        <f t="shared" si="3"/>
        <v>0.30525730032340126</v>
      </c>
      <c r="AI24" s="31">
        <f t="shared" si="4"/>
        <v>74404.057192811597</v>
      </c>
      <c r="AJ24" s="29">
        <f t="shared" si="8"/>
        <v>0.69474269967659874</v>
      </c>
      <c r="AK24" s="29">
        <f t="shared" si="9"/>
        <v>2.9908208948081615E-2</v>
      </c>
      <c r="AL24" s="23">
        <v>3203.0449404412498</v>
      </c>
      <c r="AM24" s="67">
        <f>[1]Education!H24</f>
        <v>69284</v>
      </c>
      <c r="AN24" s="59">
        <f>[1]FSS!G24</f>
        <v>13361</v>
      </c>
      <c r="AO24" s="59">
        <f>[1]PROTECTION!G24</f>
        <v>97505.173225000006</v>
      </c>
      <c r="AP24" s="59">
        <f>[1]HEALTH!G24</f>
        <v>39961</v>
      </c>
      <c r="AQ24" s="59">
        <f>[1]WASH!G24</f>
        <v>85003</v>
      </c>
      <c r="AR24" s="68">
        <f>[1]Shelter!G24</f>
        <v>9200</v>
      </c>
      <c r="AS24" s="59"/>
    </row>
    <row r="25" spans="1:45" ht="15.5" x14ac:dyDescent="0.35">
      <c r="B25" s="21">
        <v>5</v>
      </c>
      <c r="C25" s="22" t="s">
        <v>111</v>
      </c>
      <c r="D25" s="22" t="s">
        <v>111</v>
      </c>
      <c r="E25" s="23">
        <v>728248</v>
      </c>
      <c r="F25" s="23">
        <v>749100</v>
      </c>
      <c r="G25" s="23">
        <f t="shared" si="0"/>
        <v>389220.07176360005</v>
      </c>
      <c r="H25" s="24">
        <f t="shared" si="1"/>
        <v>0.51958359600000004</v>
      </c>
      <c r="I25" s="25">
        <f t="shared" si="5"/>
        <v>0.130265625</v>
      </c>
      <c r="J25" s="25">
        <f t="shared" si="5"/>
        <v>0.35015077900000002</v>
      </c>
      <c r="K25" s="25">
        <f t="shared" si="5"/>
        <v>0.28152776600000001</v>
      </c>
      <c r="L25" s="25">
        <f t="shared" si="5"/>
        <v>0.22531658200000002</v>
      </c>
      <c r="M25" s="25">
        <f t="shared" si="5"/>
        <v>1.2739248E-2</v>
      </c>
      <c r="N25" s="26">
        <v>97581.979687500003</v>
      </c>
      <c r="O25" s="26">
        <v>262297.94854890002</v>
      </c>
      <c r="P25" s="26">
        <v>210892.44951060001</v>
      </c>
      <c r="Q25" s="26">
        <v>168784.65157620001</v>
      </c>
      <c r="R25" s="27">
        <v>9542.9706767999996</v>
      </c>
      <c r="S25" s="28">
        <f>G25*F62</f>
        <v>102306.06951204875</v>
      </c>
      <c r="T25" s="28">
        <f>F63*G25</f>
        <v>99488.916140305228</v>
      </c>
      <c r="U25" s="28">
        <f>$F$64*G25</f>
        <v>94805.26191277444</v>
      </c>
      <c r="V25" s="28">
        <f>$F$65*G25</f>
        <v>92194.654697284219</v>
      </c>
      <c r="W25" s="28">
        <f>$F$66*G25</f>
        <v>10715.515828462903</v>
      </c>
      <c r="X25" s="29">
        <v>0.42217250099999998</v>
      </c>
      <c r="Y25" s="30">
        <v>24808.066169576461</v>
      </c>
      <c r="Z25" s="29">
        <v>0.52787542200000004</v>
      </c>
      <c r="AA25" s="30">
        <v>364412.00585196045</v>
      </c>
      <c r="AB25" s="23">
        <v>111996.18597855601</v>
      </c>
      <c r="AC25" s="29">
        <v>0.65003329200000004</v>
      </c>
      <c r="AD25" s="26">
        <f>F25*0.45</f>
        <v>337095</v>
      </c>
      <c r="AE25" s="23">
        <f t="shared" si="7"/>
        <v>150063.40873359001</v>
      </c>
      <c r="AF25" s="29">
        <v>0.44516652200000001</v>
      </c>
      <c r="AG25" s="23">
        <f t="shared" si="2"/>
        <v>262059.59471214603</v>
      </c>
      <c r="AH25" s="29">
        <f t="shared" si="3"/>
        <v>0.67329414314304104</v>
      </c>
      <c r="AI25" s="31">
        <f t="shared" si="4"/>
        <v>127160.47705145401</v>
      </c>
      <c r="AJ25" s="29">
        <f t="shared" si="8"/>
        <v>0.32670585685695896</v>
      </c>
      <c r="AK25" s="29">
        <f t="shared" si="9"/>
        <v>0.33769779047643372</v>
      </c>
      <c r="AL25" s="23">
        <v>131438.75824364671</v>
      </c>
      <c r="AM25" s="67">
        <f>[1]Education!H25</f>
        <v>139958</v>
      </c>
      <c r="AN25" s="59">
        <f>[1]FSS!G25</f>
        <v>390616</v>
      </c>
      <c r="AO25" s="59">
        <f>[1]PROTECTION!G25</f>
        <v>379081.85</v>
      </c>
      <c r="AP25" s="59">
        <f>[1]HEALTH!G25</f>
        <v>325203</v>
      </c>
      <c r="AQ25" s="59">
        <f>[1]WASH!G25</f>
        <v>153259</v>
      </c>
      <c r="AR25" s="68">
        <f>[1]Shelter!G25</f>
        <v>176201</v>
      </c>
      <c r="AS25" s="59"/>
    </row>
    <row r="26" spans="1:45" ht="15.5" x14ac:dyDescent="0.35">
      <c r="B26" s="21">
        <v>6</v>
      </c>
      <c r="C26" s="22" t="s">
        <v>108</v>
      </c>
      <c r="D26" s="22" t="s">
        <v>114</v>
      </c>
      <c r="E26" s="23">
        <v>43731</v>
      </c>
      <c r="F26" s="23">
        <v>44846.140500000001</v>
      </c>
      <c r="G26" s="23">
        <f t="shared" si="0"/>
        <v>16619.452054457019</v>
      </c>
      <c r="H26" s="24">
        <f t="shared" si="1"/>
        <v>0.37058823499999999</v>
      </c>
      <c r="I26" s="25">
        <f t="shared" si="5"/>
        <v>0.211764706</v>
      </c>
      <c r="J26" s="25">
        <f t="shared" si="5"/>
        <v>0.41764705899999993</v>
      </c>
      <c r="K26" s="25">
        <f t="shared" si="5"/>
        <v>0.3023529412</v>
      </c>
      <c r="L26" s="25">
        <f t="shared" si="5"/>
        <v>6.4705881999999992E-2</v>
      </c>
      <c r="M26" s="25">
        <f t="shared" si="5"/>
        <v>3.5294117999999999E-3</v>
      </c>
      <c r="N26" s="26">
        <v>9496.8297582171926</v>
      </c>
      <c r="O26" s="26">
        <v>18729.858687325788</v>
      </c>
      <c r="P26" s="26">
        <v>13559.362481643439</v>
      </c>
      <c r="Q26" s="26">
        <v>2901.8090753484207</v>
      </c>
      <c r="R26" s="27">
        <v>158.28049746515791</v>
      </c>
      <c r="S26" s="28">
        <f>G26*E62</f>
        <v>4143.3062965735107</v>
      </c>
      <c r="T26" s="28">
        <f>G63*G26</f>
        <v>3869.5793671027818</v>
      </c>
      <c r="U26" s="28">
        <f>$G$64*G26</f>
        <v>4442.2701476803049</v>
      </c>
      <c r="V26" s="28">
        <f>$G$65*G26</f>
        <v>4265.1565962789336</v>
      </c>
      <c r="W26" s="28">
        <f>$G$66*G26</f>
        <v>591.78154610358717</v>
      </c>
      <c r="X26" s="29">
        <v>0.23809523799999999</v>
      </c>
      <c r="Y26" s="30">
        <v>1319.0041343377284</v>
      </c>
      <c r="Z26" s="29">
        <v>0.38926174600000002</v>
      </c>
      <c r="AA26" s="30">
        <v>15300.447971811944</v>
      </c>
      <c r="AB26" s="23">
        <v>2788.9256657762253</v>
      </c>
      <c r="AC26" s="29">
        <v>0.69098617200000001</v>
      </c>
      <c r="AD26" s="26">
        <f>F26*0.24</f>
        <v>10763.07372</v>
      </c>
      <c r="AE26" s="23">
        <f t="shared" si="7"/>
        <v>3471.9592735432234</v>
      </c>
      <c r="AF26" s="29">
        <v>0.32258064600000003</v>
      </c>
      <c r="AG26" s="23">
        <f t="shared" si="2"/>
        <v>6260.8849393194487</v>
      </c>
      <c r="AH26" s="29">
        <f t="shared" si="3"/>
        <v>0.37672029852755579</v>
      </c>
      <c r="AI26" s="31">
        <f t="shared" si="4"/>
        <v>10358.56711513757</v>
      </c>
      <c r="AJ26" s="29">
        <f t="shared" si="8"/>
        <v>0.62327970147244416</v>
      </c>
      <c r="AK26" s="29">
        <f t="shared" si="9"/>
        <v>0.770914691999669</v>
      </c>
      <c r="AL26" s="23">
        <v>12812.179761764999</v>
      </c>
      <c r="AM26" s="67">
        <f>[1]Education!H26</f>
        <v>8105</v>
      </c>
      <c r="AN26" s="59">
        <f>[1]FSS!G26</f>
        <v>5849</v>
      </c>
      <c r="AO26" s="59">
        <f>[1]PROTECTION!G26</f>
        <v>11211.535125</v>
      </c>
      <c r="AP26" s="59">
        <f>[1]HEALTH!G26</f>
        <v>3429</v>
      </c>
      <c r="AQ26" s="59">
        <f>[1]WASH!G26</f>
        <v>8401</v>
      </c>
      <c r="AR26" s="68">
        <f>[1]Shelter!G26</f>
        <v>12000</v>
      </c>
      <c r="AS26" s="59"/>
    </row>
    <row r="27" spans="1:45" ht="15.5" x14ac:dyDescent="0.35">
      <c r="B27" s="21">
        <v>7</v>
      </c>
      <c r="C27" s="22" t="s">
        <v>111</v>
      </c>
      <c r="D27" s="22" t="s">
        <v>115</v>
      </c>
      <c r="E27" s="23">
        <v>422286</v>
      </c>
      <c r="F27" s="23">
        <v>438557</v>
      </c>
      <c r="G27" s="23">
        <f t="shared" si="0"/>
        <v>293182.43368709402</v>
      </c>
      <c r="H27" s="24">
        <f t="shared" si="1"/>
        <v>0.66851614199999998</v>
      </c>
      <c r="I27" s="25">
        <f t="shared" si="5"/>
        <v>6.3369301000000003E-2</v>
      </c>
      <c r="J27" s="25">
        <f t="shared" si="5"/>
        <v>0.26811455699999998</v>
      </c>
      <c r="K27" s="25">
        <f t="shared" si="5"/>
        <v>0.34250094959999999</v>
      </c>
      <c r="L27" s="25">
        <f t="shared" si="5"/>
        <v>0.30254884500000001</v>
      </c>
      <c r="M27" s="25">
        <f t="shared" si="5"/>
        <v>2.34663474E-2</v>
      </c>
      <c r="N27" s="26">
        <v>27791.050538657</v>
      </c>
      <c r="O27" s="26">
        <v>117583.51577424898</v>
      </c>
      <c r="P27" s="26">
        <v>150206.18895372719</v>
      </c>
      <c r="Q27" s="26">
        <v>132684.91381666501</v>
      </c>
      <c r="R27" s="27">
        <v>10291.3309167018</v>
      </c>
      <c r="S27" s="28">
        <f>G27*F62</f>
        <v>77062.681543106737</v>
      </c>
      <c r="T27" s="28">
        <f>F63*G27</f>
        <v>74940.643288874009</v>
      </c>
      <c r="U27" s="28">
        <f>$F$64*G27</f>
        <v>71412.651685680583</v>
      </c>
      <c r="V27" s="28">
        <f>$F$65*G27</f>
        <v>69446.195605010158</v>
      </c>
      <c r="W27" s="28">
        <f>$F$66*G27</f>
        <v>8071.5287743676299</v>
      </c>
      <c r="X27" s="29">
        <v>0.76381800399999999</v>
      </c>
      <c r="Y27" s="30">
        <v>29945.184906201004</v>
      </c>
      <c r="Z27" s="29">
        <v>0.65916031500000005</v>
      </c>
      <c r="AA27" s="30">
        <v>263237.24895889219</v>
      </c>
      <c r="AB27" s="23">
        <v>78167.889111940603</v>
      </c>
      <c r="AC27" s="29">
        <v>0.77495146000000004</v>
      </c>
      <c r="AD27" s="26">
        <f>F27*0.45</f>
        <v>197350.65</v>
      </c>
      <c r="AE27" s="23">
        <f t="shared" si="7"/>
        <v>138896.07444761266</v>
      </c>
      <c r="AF27" s="29">
        <v>0.70380348100000001</v>
      </c>
      <c r="AG27" s="23">
        <f t="shared" si="2"/>
        <v>217063.96355955326</v>
      </c>
      <c r="AH27" s="29">
        <f t="shared" si="3"/>
        <v>0.740371654705684</v>
      </c>
      <c r="AI27" s="31">
        <f t="shared" si="4"/>
        <v>76118.470127540757</v>
      </c>
      <c r="AJ27" s="29">
        <f t="shared" si="8"/>
        <v>0.25962834529431605</v>
      </c>
      <c r="AK27" s="29">
        <f t="shared" si="9"/>
        <v>0.15146971683310526</v>
      </c>
      <c r="AL27" s="23">
        <v>44408.26021102479</v>
      </c>
      <c r="AM27" s="67">
        <f>[1]Education!H27</f>
        <v>82501</v>
      </c>
      <c r="AN27" s="59">
        <f>[1]FSS!G27</f>
        <v>211400</v>
      </c>
      <c r="AO27" s="59">
        <f>[1]PROTECTION!G27</f>
        <v>221974</v>
      </c>
      <c r="AP27" s="59">
        <f>[1]HEALTH!G27</f>
        <v>192179</v>
      </c>
      <c r="AQ27" s="59">
        <f>[1]WASH!G27</f>
        <v>148313</v>
      </c>
      <c r="AR27" s="68">
        <f>[1]Shelter!G27</f>
        <v>91354</v>
      </c>
      <c r="AS27" s="59"/>
    </row>
    <row r="28" spans="1:45" ht="15.5" x14ac:dyDescent="0.35">
      <c r="B28" s="21">
        <v>8</v>
      </c>
      <c r="C28" s="22" t="s">
        <v>111</v>
      </c>
      <c r="D28" s="22" t="s">
        <v>116</v>
      </c>
      <c r="E28" s="23">
        <v>425530</v>
      </c>
      <c r="F28" s="23">
        <v>444412</v>
      </c>
      <c r="G28" s="23">
        <f t="shared" si="0"/>
        <v>224052.98827112399</v>
      </c>
      <c r="H28" s="24">
        <f t="shared" si="1"/>
        <v>0.50415602699999995</v>
      </c>
      <c r="I28" s="25">
        <f t="shared" si="5"/>
        <v>9.2518527000000003E-2</v>
      </c>
      <c r="J28" s="25">
        <f t="shared" si="5"/>
        <v>0.40332544599999998</v>
      </c>
      <c r="K28" s="25">
        <f t="shared" si="5"/>
        <v>0.23725905119999999</v>
      </c>
      <c r="L28" s="25">
        <f t="shared" si="5"/>
        <v>0.24348879149999997</v>
      </c>
      <c r="M28" s="25">
        <f t="shared" si="5"/>
        <v>2.3408184300000003E-2</v>
      </c>
      <c r="N28" s="26">
        <v>41116.343621124004</v>
      </c>
      <c r="O28" s="26">
        <v>179242.66810775199</v>
      </c>
      <c r="P28" s="26">
        <v>105440.76946189439</v>
      </c>
      <c r="Q28" s="26">
        <v>108209.34080809799</v>
      </c>
      <c r="R28" s="27">
        <v>10402.878001131601</v>
      </c>
      <c r="S28" s="28">
        <f>G28*F62</f>
        <v>58892.082539797535</v>
      </c>
      <c r="T28" s="28">
        <f>F63*G28</f>
        <v>57270.399391502513</v>
      </c>
      <c r="U28" s="28">
        <f>$F$64*G28</f>
        <v>54574.272439590539</v>
      </c>
      <c r="V28" s="28">
        <f>$F$65*G28</f>
        <v>53071.486765710899</v>
      </c>
      <c r="W28" s="28">
        <f>$F$66*G28</f>
        <v>6168.344123043682</v>
      </c>
      <c r="X28" s="29">
        <v>0.655934248</v>
      </c>
      <c r="Y28" s="30">
        <v>18784.585487869022</v>
      </c>
      <c r="Z28" s="29">
        <v>0.49386865299999999</v>
      </c>
      <c r="AA28" s="30">
        <v>205337.79013618617</v>
      </c>
      <c r="AB28" s="23">
        <v>60999.122632293125</v>
      </c>
      <c r="AC28" s="29">
        <v>0.59677411199999997</v>
      </c>
      <c r="AD28" s="26">
        <f>F28*0.45</f>
        <v>199985.4</v>
      </c>
      <c r="AE28" s="23">
        <f t="shared" si="7"/>
        <v>97201.359182755798</v>
      </c>
      <c r="AF28" s="29">
        <v>0.48604227700000002</v>
      </c>
      <c r="AG28" s="23">
        <f t="shared" si="2"/>
        <v>158200.48181504893</v>
      </c>
      <c r="AH28" s="29">
        <f t="shared" si="3"/>
        <v>0.70608512314779892</v>
      </c>
      <c r="AI28" s="31">
        <f t="shared" si="4"/>
        <v>65852.506456075062</v>
      </c>
      <c r="AJ28" s="29">
        <f t="shared" si="8"/>
        <v>0.29391487685220108</v>
      </c>
      <c r="AK28" s="29">
        <f t="shared" si="9"/>
        <v>0.29384908755990613</v>
      </c>
      <c r="AL28" s="23">
        <v>65837.76616854014</v>
      </c>
      <c r="AM28" s="67">
        <f>[1]Education!H28</f>
        <v>83655</v>
      </c>
      <c r="AN28" s="59">
        <f>[1]FSS!G28</f>
        <v>253256</v>
      </c>
      <c r="AO28" s="59">
        <f>[1]PROTECTION!G28</f>
        <v>222206</v>
      </c>
      <c r="AP28" s="59">
        <f>[1]HEALTH!G28</f>
        <v>218264</v>
      </c>
      <c r="AQ28" s="59">
        <f>[1]WASH!G28</f>
        <v>205649</v>
      </c>
      <c r="AR28" s="68">
        <f>[1]Shelter!G28</f>
        <v>189007</v>
      </c>
      <c r="AS28" s="59"/>
    </row>
    <row r="29" spans="1:45" ht="15.5" x14ac:dyDescent="0.35">
      <c r="B29" s="21">
        <v>9</v>
      </c>
      <c r="C29" s="22" t="s">
        <v>111</v>
      </c>
      <c r="D29" s="22" t="s">
        <v>117</v>
      </c>
      <c r="E29" s="23">
        <v>265498</v>
      </c>
      <c r="F29" s="23">
        <v>275267</v>
      </c>
      <c r="G29" s="23">
        <f t="shared" si="0"/>
        <v>175318.87798587201</v>
      </c>
      <c r="H29" s="24">
        <f t="shared" si="1"/>
        <v>0.63690481600000004</v>
      </c>
      <c r="I29" s="25">
        <f t="shared" si="5"/>
        <v>4.6348566000000001E-2</v>
      </c>
      <c r="J29" s="25">
        <f t="shared" si="5"/>
        <v>0.31674661900000001</v>
      </c>
      <c r="K29" s="25">
        <f t="shared" si="5"/>
        <v>0.29872050292000002</v>
      </c>
      <c r="L29" s="25">
        <f t="shared" si="5"/>
        <v>0.32102389891999999</v>
      </c>
      <c r="M29" s="25">
        <f t="shared" si="5"/>
        <v>1.7160414160000026E-2</v>
      </c>
      <c r="N29" s="32">
        <v>12758.230717122</v>
      </c>
      <c r="O29" s="32">
        <v>87189.891572273002</v>
      </c>
      <c r="P29" s="32">
        <v>82227.896677279641</v>
      </c>
      <c r="Q29" s="32">
        <v>88367.285584011639</v>
      </c>
      <c r="R29" s="27">
        <v>4723.6957245807271</v>
      </c>
      <c r="S29" s="28">
        <f>G29*F62</f>
        <v>46082.375034581681</v>
      </c>
      <c r="T29" s="28">
        <f>F63*G29</f>
        <v>44813.426683561978</v>
      </c>
      <c r="U29" s="28">
        <f>$F$64*G29</f>
        <v>42703.738454165599</v>
      </c>
      <c r="V29" s="28">
        <f>$F$65*G29</f>
        <v>41527.826004923889</v>
      </c>
      <c r="W29" s="28">
        <f>$F$66*G29</f>
        <v>4826.6581000657889</v>
      </c>
      <c r="X29" s="29">
        <v>0.84776001300000003</v>
      </c>
      <c r="Y29" s="30">
        <v>22669.791734898965</v>
      </c>
      <c r="Z29" s="29">
        <v>0.61421853000000004</v>
      </c>
      <c r="AA29" s="30">
        <v>152649.38942069741</v>
      </c>
      <c r="AB29" s="23">
        <v>40323.341936750563</v>
      </c>
      <c r="AC29" s="29">
        <v>0.63690481600000004</v>
      </c>
      <c r="AD29" s="26">
        <f>F29*0.45</f>
        <v>123870.15000000001</v>
      </c>
      <c r="AE29" s="23">
        <f t="shared" si="7"/>
        <v>75657.554277984455</v>
      </c>
      <c r="AF29" s="29">
        <v>0.61078116299999996</v>
      </c>
      <c r="AG29" s="23">
        <f t="shared" si="2"/>
        <v>115980.89621473502</v>
      </c>
      <c r="AH29" s="29">
        <f t="shared" si="3"/>
        <v>0.66154254206487273</v>
      </c>
      <c r="AI29" s="31">
        <f t="shared" si="4"/>
        <v>59337.981771136983</v>
      </c>
      <c r="AJ29" s="29">
        <f t="shared" si="8"/>
        <v>0.33845745793512727</v>
      </c>
      <c r="AK29" s="29">
        <f t="shared" si="9"/>
        <v>0.27993963557705731</v>
      </c>
      <c r="AL29" s="23">
        <v>49078.702813143587</v>
      </c>
      <c r="AM29" s="67">
        <f>[1]Education!H29</f>
        <v>37944</v>
      </c>
      <c r="AN29" s="59">
        <f>[1]FSS!G29</f>
        <v>165606</v>
      </c>
      <c r="AO29" s="59">
        <f>[1]PROTECTION!G29</f>
        <v>146237.1</v>
      </c>
      <c r="AP29" s="59">
        <f>[1]HEALTH!G29</f>
        <v>120902</v>
      </c>
      <c r="AQ29" s="59">
        <f>[1]WASH!G29</f>
        <v>56081</v>
      </c>
      <c r="AR29" s="68">
        <f>[1]Shelter!G29</f>
        <v>60467</v>
      </c>
      <c r="AS29" s="59"/>
    </row>
    <row r="30" spans="1:45" x14ac:dyDescent="0.35">
      <c r="B30" s="33"/>
      <c r="C30" s="34"/>
      <c r="D30" s="35"/>
      <c r="E30" s="36"/>
      <c r="F30" s="37">
        <f>SUM(F21:F29)</f>
        <v>5484561.4676000001</v>
      </c>
      <c r="G30" s="38">
        <f>SUM(G21:G29)</f>
        <v>2087420.0192133565</v>
      </c>
      <c r="H30" s="39">
        <f>G30/F30</f>
        <v>0.38059925694055441</v>
      </c>
      <c r="I30" s="40">
        <v>0.18730134400084564</v>
      </c>
      <c r="J30" s="40">
        <v>0.43209939905150235</v>
      </c>
      <c r="K30" s="40">
        <v>0.2415643537102404</v>
      </c>
      <c r="L30" s="40">
        <v>0.12709095021888853</v>
      </c>
      <c r="M30" s="40">
        <v>1.1943953018522867E-2</v>
      </c>
      <c r="N30" s="41">
        <f>SUM(N21:N29)</f>
        <v>1027265.7341175741</v>
      </c>
      <c r="O30" s="41">
        <f>SUM(O21:O29)</f>
        <v>2369875.7141667926</v>
      </c>
      <c r="P30" s="41">
        <v>1324874.5462801757</v>
      </c>
      <c r="Q30" s="41">
        <v>697038.12843818753</v>
      </c>
      <c r="R30" s="41">
        <f t="shared" ref="R30:W30" si="10">SUM(R21:R29)</f>
        <v>65507.344494993653</v>
      </c>
      <c r="S30" s="42">
        <f t="shared" si="10"/>
        <v>532321.1609959238</v>
      </c>
      <c r="T30" s="42">
        <f t="shared" si="10"/>
        <v>515132.12054892338</v>
      </c>
      <c r="U30" s="42">
        <f t="shared" si="10"/>
        <v>527644.17204030044</v>
      </c>
      <c r="V30" s="42">
        <f t="shared" si="10"/>
        <v>510446.3706093909</v>
      </c>
      <c r="W30" s="42">
        <f t="shared" si="10"/>
        <v>64005.734162571127</v>
      </c>
      <c r="X30" s="39">
        <f>Y30/G30</f>
        <v>0.11813511302500576</v>
      </c>
      <c r="Y30" s="38">
        <v>246597.59990042957</v>
      </c>
      <c r="Z30" s="39">
        <f>AA30/G30</f>
        <v>0.8818499033460705</v>
      </c>
      <c r="AA30" s="38">
        <v>1840791.1421859511</v>
      </c>
      <c r="AB30" s="38">
        <v>465728.92343664716</v>
      </c>
      <c r="AC30" s="39">
        <f>AB30/G30</f>
        <v>0.22311222425286356</v>
      </c>
      <c r="AD30" s="43">
        <f>SUM(AD21:AD29)</f>
        <v>1600718.2265792999</v>
      </c>
      <c r="AE30" s="38">
        <f>SUM(AE21:AE29)</f>
        <v>687109.07127927139</v>
      </c>
      <c r="AF30" s="39">
        <f>AE30/G30</f>
        <v>0.32916665786227739</v>
      </c>
      <c r="AG30" s="38">
        <f t="shared" si="2"/>
        <v>1152837.9947159186</v>
      </c>
      <c r="AH30" s="39">
        <f t="shared" si="3"/>
        <v>0.55227888211514098</v>
      </c>
      <c r="AI30" s="44">
        <f>SUM(AI21:AI29)</f>
        <v>934582.02449743811</v>
      </c>
      <c r="AJ30" s="39">
        <f>AI30/G30</f>
        <v>0.44772111788485913</v>
      </c>
      <c r="AK30" s="39">
        <f>AL30/G30</f>
        <v>0.21827154524980277</v>
      </c>
      <c r="AL30" s="116">
        <f>SUM(AL21:AL29)</f>
        <v>455624.3931790723</v>
      </c>
      <c r="AM30" s="45">
        <f>[1]Education!H30</f>
        <v>608556</v>
      </c>
      <c r="AN30" s="45">
        <f>[1]FSS!G30</f>
        <v>1541807</v>
      </c>
      <c r="AO30" s="45">
        <f>[1]PROTECTION!G30</f>
        <v>1863850.0669006486</v>
      </c>
      <c r="AP30" s="45">
        <f>[1]HEALTH!G30</f>
        <v>1611601</v>
      </c>
      <c r="AQ30" s="45">
        <f>[1]WASH!G30</f>
        <v>1366680</v>
      </c>
      <c r="AR30" s="38">
        <f>[1]Shelter!G30</f>
        <v>663103</v>
      </c>
    </row>
    <row r="31" spans="1:45" ht="15.5" x14ac:dyDescent="0.35">
      <c r="S31" s="71">
        <f>S30/S32</f>
        <v>0.24764312082331072</v>
      </c>
      <c r="T31" s="71">
        <f>T30/S32</f>
        <v>0.23964654294485607</v>
      </c>
      <c r="U31" s="71">
        <f>U30/S32</f>
        <v>0.24546732127617304</v>
      </c>
      <c r="V31" s="71">
        <f>V30/S32</f>
        <v>0.23746666766758459</v>
      </c>
      <c r="W31" s="71">
        <f>W30/S32</f>
        <v>2.9776347288075745E-2</v>
      </c>
      <c r="AG31" s="47">
        <f>AG30/G30</f>
        <v>0.55227888211514098</v>
      </c>
      <c r="AI31" s="47">
        <f>AI30/G30</f>
        <v>0.44772111788485913</v>
      </c>
    </row>
    <row r="32" spans="1:45" x14ac:dyDescent="0.35">
      <c r="F32" s="48">
        <f>F23-(SUM(N23:R23))</f>
        <v>0</v>
      </c>
      <c r="G32" s="46"/>
      <c r="Q32" s="49"/>
      <c r="R32" s="49"/>
      <c r="S32" s="49">
        <f>S30+T30+U30+V30+W30</f>
        <v>2149549.5583571093</v>
      </c>
      <c r="T32" s="49"/>
    </row>
    <row r="33" spans="1:48" x14ac:dyDescent="0.35">
      <c r="X33" s="1" t="s">
        <v>68</v>
      </c>
    </row>
    <row r="34" spans="1:48" ht="52.15" customHeight="1" x14ac:dyDescent="0.35">
      <c r="A34" s="2">
        <v>2</v>
      </c>
      <c r="C34" s="50"/>
      <c r="D34" s="50"/>
      <c r="E34" s="51" t="s">
        <v>118</v>
      </c>
      <c r="F34" s="52" t="s">
        <v>119</v>
      </c>
      <c r="G34" s="52" t="s">
        <v>120</v>
      </c>
      <c r="H34" s="53" t="s">
        <v>75</v>
      </c>
      <c r="I34" s="10" t="s">
        <v>121</v>
      </c>
      <c r="J34" s="54" t="s">
        <v>122</v>
      </c>
      <c r="K34" s="8" t="s">
        <v>123</v>
      </c>
      <c r="L34" s="8" t="s">
        <v>124</v>
      </c>
      <c r="M34" s="8" t="s">
        <v>125</v>
      </c>
      <c r="N34" s="10" t="s">
        <v>81</v>
      </c>
      <c r="O34" s="54" t="s">
        <v>82</v>
      </c>
      <c r="P34" s="8" t="s">
        <v>83</v>
      </c>
      <c r="Q34" s="8" t="s">
        <v>84</v>
      </c>
      <c r="R34" s="8" t="s">
        <v>85</v>
      </c>
      <c r="S34" s="51" t="s">
        <v>86</v>
      </c>
      <c r="T34" s="52" t="s">
        <v>126</v>
      </c>
      <c r="U34" s="52" t="s">
        <v>88</v>
      </c>
      <c r="V34" s="52" t="s">
        <v>89</v>
      </c>
      <c r="W34" s="53" t="s">
        <v>90</v>
      </c>
      <c r="X34" s="52" t="s">
        <v>127</v>
      </c>
      <c r="Y34" s="52" t="s">
        <v>128</v>
      </c>
      <c r="Z34" s="52" t="s">
        <v>91</v>
      </c>
      <c r="AA34" s="52" t="s">
        <v>129</v>
      </c>
      <c r="AB34" s="55" t="s">
        <v>95</v>
      </c>
      <c r="AC34" s="52" t="s">
        <v>96</v>
      </c>
      <c r="AD34" s="52"/>
      <c r="AE34" s="52" t="s">
        <v>130</v>
      </c>
      <c r="AF34" s="55" t="s">
        <v>131</v>
      </c>
      <c r="AG34" s="52" t="s">
        <v>132</v>
      </c>
      <c r="AH34" s="56" t="s">
        <v>133</v>
      </c>
      <c r="AI34" s="57" t="s">
        <v>134</v>
      </c>
      <c r="AJ34" s="56" t="s">
        <v>135</v>
      </c>
      <c r="AK34" s="56" t="s">
        <v>136</v>
      </c>
      <c r="AL34" s="57" t="s">
        <v>137</v>
      </c>
      <c r="AM34" s="56" t="s">
        <v>138</v>
      </c>
      <c r="AN34" s="56" t="s">
        <v>139</v>
      </c>
      <c r="AO34" s="56" t="s">
        <v>140</v>
      </c>
      <c r="AP34" s="57" t="s">
        <v>141</v>
      </c>
      <c r="AQ34" s="109" t="s">
        <v>106</v>
      </c>
      <c r="AR34" s="110" t="s">
        <v>107</v>
      </c>
      <c r="AS34" s="110" t="s">
        <v>5</v>
      </c>
      <c r="AT34" s="110" t="s">
        <v>3</v>
      </c>
      <c r="AU34" s="110" t="s">
        <v>7</v>
      </c>
      <c r="AV34" s="111" t="s">
        <v>6</v>
      </c>
    </row>
    <row r="35" spans="1:48" x14ac:dyDescent="0.35">
      <c r="E35" s="58" t="s">
        <v>108</v>
      </c>
      <c r="F35" s="59">
        <f>F21+F22+F24+F26</f>
        <v>3258017.4676000006</v>
      </c>
      <c r="G35" s="59">
        <f>G21+G22+G24+G26</f>
        <v>809396.86692673061</v>
      </c>
      <c r="H35" s="60">
        <f>G35/F35</f>
        <v>0.24843232885518199</v>
      </c>
      <c r="I35" s="61">
        <v>0.25565605656758461</v>
      </c>
      <c r="J35" s="62">
        <v>0.49591161454844468</v>
      </c>
      <c r="K35" s="62">
        <v>0.20792251210079293</v>
      </c>
      <c r="L35" s="62">
        <v>3.3626791763499267E-2</v>
      </c>
      <c r="M35" s="63">
        <v>6.8830250196785549E-3</v>
      </c>
      <c r="N35" s="64">
        <v>832931.897898403</v>
      </c>
      <c r="O35" s="65">
        <v>1615688.7023973227</v>
      </c>
      <c r="P35" s="65">
        <v>677415.17625315592</v>
      </c>
      <c r="Q35" s="65">
        <v>109556.67493213284</v>
      </c>
      <c r="R35" s="66">
        <v>22425.015741441923</v>
      </c>
      <c r="S35" s="67">
        <f>S21+S22+S24+S26</f>
        <v>196394.17536180079</v>
      </c>
      <c r="T35" s="59">
        <f>T21+T22+T24+T26</f>
        <v>188455.39586952649</v>
      </c>
      <c r="U35" s="59">
        <f>U21+U22+U24+U26</f>
        <v>216346.45521362562</v>
      </c>
      <c r="V35" s="59">
        <f>V21+V22+V24+V26</f>
        <v>207720.71032596004</v>
      </c>
      <c r="W35" s="68">
        <f>W21+W22+W24+W26</f>
        <v>28820.813571458577</v>
      </c>
      <c r="X35" s="26">
        <v>441713.61250201805</v>
      </c>
      <c r="Y35" s="26">
        <v>130069.54121221023</v>
      </c>
      <c r="Z35" s="25">
        <v>0.29446577495190052</v>
      </c>
      <c r="AA35" s="69">
        <v>293877.04717799998</v>
      </c>
      <c r="AB35" s="70">
        <f>AB21+AB22+AB24+AB26</f>
        <v>134359.54300949405</v>
      </c>
      <c r="AC35" s="71">
        <f>AB35/AA35</f>
        <v>0.45719645103182588</v>
      </c>
      <c r="AD35" s="71"/>
      <c r="AE35" s="69">
        <v>596659.4594220001</v>
      </c>
      <c r="AF35" s="70">
        <f>AE21+AE22+AE24+AE26</f>
        <v>140612.72230571212</v>
      </c>
      <c r="AG35" s="71">
        <f>AF35/AE35</f>
        <v>0.23566662706048003</v>
      </c>
      <c r="AH35" s="69">
        <f>AA35+AE35</f>
        <v>890536.50660000008</v>
      </c>
      <c r="AI35" s="70">
        <f>AF35+AB35</f>
        <v>274972.26531520614</v>
      </c>
      <c r="AJ35" s="71">
        <f>AI35/AH35</f>
        <v>0.30877146897102414</v>
      </c>
      <c r="AK35" s="69">
        <f>F35-AH35</f>
        <v>2367480.9610000006</v>
      </c>
      <c r="AL35" s="72">
        <f>AI21+AI22+AI24+AI26</f>
        <v>534424.60161152447</v>
      </c>
      <c r="AM35" s="73">
        <f>1-AJ35</f>
        <v>0.69122853102897586</v>
      </c>
      <c r="AN35" s="26">
        <v>466563.65068791842</v>
      </c>
      <c r="AO35" s="26">
        <v>0.71620961599999999</v>
      </c>
      <c r="AP35" s="72">
        <v>334157.37309875217</v>
      </c>
      <c r="AQ35" s="67">
        <f>AP21</f>
        <v>426465</v>
      </c>
      <c r="AR35" s="72">
        <f>[1]FSS!G35</f>
        <v>352818</v>
      </c>
      <c r="AS35" s="59">
        <f>[1]PROTECTION!G44</f>
        <v>734747.11690064881</v>
      </c>
      <c r="AT35" s="59">
        <f>[1]HEALTH!G35</f>
        <v>633682</v>
      </c>
      <c r="AU35" s="59">
        <f>[1]WASH!G35</f>
        <v>718084</v>
      </c>
      <c r="AV35" s="68">
        <f>[1]Shelter!G35</f>
        <v>71790</v>
      </c>
    </row>
    <row r="36" spans="1:48" x14ac:dyDescent="0.35">
      <c r="E36" s="58" t="s">
        <v>142</v>
      </c>
      <c r="F36" s="59">
        <f>F23+F25+F27+F28+F29</f>
        <v>2226544</v>
      </c>
      <c r="G36" s="59">
        <f>G23+G25+G27+G28+G29</f>
        <v>1278023.1522866262</v>
      </c>
      <c r="H36" s="60">
        <f>G36/F36</f>
        <v>0.57399411477456819</v>
      </c>
      <c r="I36" s="61">
        <v>8.7280483204080203E-2</v>
      </c>
      <c r="J36" s="62">
        <v>0.33872540209231439</v>
      </c>
      <c r="K36" s="62">
        <v>0.29079118577803731</v>
      </c>
      <c r="L36" s="62">
        <v>0.26385351173541799</v>
      </c>
      <c r="M36" s="63">
        <v>1.934941719015006E-2</v>
      </c>
      <c r="N36" s="64">
        <v>194333.83621917097</v>
      </c>
      <c r="O36" s="65">
        <v>754187.01176946994</v>
      </c>
      <c r="P36" s="65">
        <v>647459.37002701953</v>
      </c>
      <c r="Q36" s="65">
        <v>587481.45350605459</v>
      </c>
      <c r="R36" s="66">
        <v>43082.32875355173</v>
      </c>
      <c r="S36" s="67">
        <f>S23+S25+S27+S28+S29</f>
        <v>335926.98563412309</v>
      </c>
      <c r="T36" s="59">
        <f>T23+T25+T27+T28+T29</f>
        <v>326676.7246793969</v>
      </c>
      <c r="U36" s="59">
        <f>U23+U25+U27+U28+U29</f>
        <v>311297.7168266747</v>
      </c>
      <c r="V36" s="59">
        <f>V23+V25+V27+V28+V29</f>
        <v>302725.66028343083</v>
      </c>
      <c r="W36" s="68">
        <f>W23+W25+W27+W28+W29</f>
        <v>35184.920591112554</v>
      </c>
      <c r="X36" s="26">
        <v>183026.15530163524</v>
      </c>
      <c r="Y36" s="26">
        <v>116528.05868821935</v>
      </c>
      <c r="Z36" s="25">
        <v>0.63667435124873772</v>
      </c>
      <c r="AA36" s="69">
        <v>519645.2352</v>
      </c>
      <c r="AB36" s="70">
        <f>AB23+AB25+AB27+AB28+AB29</f>
        <v>331369.38042715308</v>
      </c>
      <c r="AC36" s="71">
        <f t="shared" ref="AC36:AC37" si="11">AB36/AA36</f>
        <v>0.63768386195173388</v>
      </c>
      <c r="AD36" s="71"/>
      <c r="AE36" s="69">
        <v>998851.54460000002</v>
      </c>
      <c r="AF36" s="70">
        <f>AE23+AE25+AE27+AE28+AE29</f>
        <v>546496.34897355933</v>
      </c>
      <c r="AG36" s="71">
        <f t="shared" ref="AG36:AG37" si="12">AF36/AE36</f>
        <v>0.54712469728663149</v>
      </c>
      <c r="AH36" s="69">
        <f t="shared" ref="AH36:AH37" si="13">AA36+AE36</f>
        <v>1518496.7798000001</v>
      </c>
      <c r="AI36" s="70">
        <f t="shared" ref="AI36:AI37" si="14">AF36+AB36</f>
        <v>877865.72940071241</v>
      </c>
      <c r="AJ36" s="71">
        <f t="shared" ref="AJ36:AJ37" si="15">AI36/AH36</f>
        <v>0.57811497599378203</v>
      </c>
      <c r="AK36" s="69">
        <f>F36-AH36</f>
        <v>708047.22019999987</v>
      </c>
      <c r="AL36" s="72">
        <f>AI23+AI25+AI27+AI28+AI29</f>
        <v>400157.42288591358</v>
      </c>
      <c r="AM36" s="73">
        <f>1-AJ36</f>
        <v>0.42188502400621797</v>
      </c>
      <c r="AN36" s="26">
        <v>316182.79485950008</v>
      </c>
      <c r="AO36" s="26">
        <v>0.35213238000000002</v>
      </c>
      <c r="AP36" s="72">
        <v>111338.20006892753</v>
      </c>
      <c r="AQ36" s="67">
        <f>[1]Education!H36</f>
        <v>392684</v>
      </c>
      <c r="AR36" s="72">
        <f>[1]FSS!G36</f>
        <v>1188989</v>
      </c>
      <c r="AS36" s="59">
        <f>[1]PROTECTION!G45</f>
        <v>1129102.95</v>
      </c>
      <c r="AT36" s="59">
        <f>[1]HEALTH!G36</f>
        <v>977919</v>
      </c>
      <c r="AU36" s="59">
        <f>[1]WASH!G36</f>
        <v>648596</v>
      </c>
      <c r="AV36" s="68">
        <f>[1]Shelter!G36</f>
        <v>591313</v>
      </c>
    </row>
    <row r="37" spans="1:48" x14ac:dyDescent="0.35">
      <c r="E37" s="35" t="s">
        <v>143</v>
      </c>
      <c r="F37" s="74">
        <f>F30</f>
        <v>5484561.4676000001</v>
      </c>
      <c r="G37" s="75">
        <f>G35+G36</f>
        <v>2087420.0192133568</v>
      </c>
      <c r="H37" s="76">
        <f>G37/F37</f>
        <v>0.38059925694055446</v>
      </c>
      <c r="I37" s="77">
        <v>0.18730134400084564</v>
      </c>
      <c r="J37" s="78">
        <v>0.43209939905150235</v>
      </c>
      <c r="K37" s="78">
        <v>0.2415643537102404</v>
      </c>
      <c r="L37" s="78">
        <v>0.12709095021888853</v>
      </c>
      <c r="M37" s="79">
        <v>1.1943953018522867E-2</v>
      </c>
      <c r="N37" s="80">
        <v>1027265.7341175739</v>
      </c>
      <c r="O37" s="81">
        <v>2369875.7141667926</v>
      </c>
      <c r="P37" s="81">
        <v>1324874.5462801754</v>
      </c>
      <c r="Q37" s="81">
        <v>697038.12843818741</v>
      </c>
      <c r="R37" s="82">
        <v>65507.344494993653</v>
      </c>
      <c r="S37" s="75">
        <f>S35+S36</f>
        <v>532321.16099592391</v>
      </c>
      <c r="T37" s="75">
        <f>T35+T36</f>
        <v>515132.12054892338</v>
      </c>
      <c r="U37" s="38">
        <f>U35+U36</f>
        <v>527644.17204030033</v>
      </c>
      <c r="V37" s="75">
        <f>V35+V36</f>
        <v>510446.3706093909</v>
      </c>
      <c r="W37" s="38">
        <f>W35+W36</f>
        <v>64005.734162571127</v>
      </c>
      <c r="X37" s="83">
        <v>624739.76780365326</v>
      </c>
      <c r="Y37" s="75">
        <v>246597.59990042957</v>
      </c>
      <c r="Z37" s="84">
        <f>Y37/X37</f>
        <v>0.3947205102171944</v>
      </c>
      <c r="AA37" s="83">
        <f>AA35+AA36</f>
        <v>813522.28237799997</v>
      </c>
      <c r="AB37" s="38">
        <f>AB35+AB36</f>
        <v>465728.92343664716</v>
      </c>
      <c r="AC37" s="76">
        <f t="shared" si="11"/>
        <v>0.57248453241536168</v>
      </c>
      <c r="AD37" s="84"/>
      <c r="AE37" s="85">
        <v>1595511.0040220001</v>
      </c>
      <c r="AF37" s="38">
        <f>AF35+AF36</f>
        <v>687109.07127927151</v>
      </c>
      <c r="AG37" s="76">
        <f t="shared" si="12"/>
        <v>0.43065141484276287</v>
      </c>
      <c r="AH37" s="85">
        <f t="shared" si="13"/>
        <v>2409033.2864000001</v>
      </c>
      <c r="AI37" s="38">
        <f t="shared" si="14"/>
        <v>1152837.9947159188</v>
      </c>
      <c r="AJ37" s="76">
        <f t="shared" si="15"/>
        <v>0.47854797242701924</v>
      </c>
      <c r="AK37" s="85">
        <f>F37-AH37</f>
        <v>3075528.1812</v>
      </c>
      <c r="AL37" s="38">
        <f>AL35+AL36</f>
        <v>934582.02449743799</v>
      </c>
      <c r="AM37" s="86">
        <f>AL37/AK37</f>
        <v>0.30387691786091381</v>
      </c>
      <c r="AN37" s="32">
        <v>782746.44554741844</v>
      </c>
      <c r="AO37" s="32"/>
      <c r="AP37" s="38">
        <v>445495.57316767971</v>
      </c>
      <c r="AQ37" s="38">
        <f>[1]Education!H37</f>
        <v>608556</v>
      </c>
      <c r="AR37" s="38">
        <f>[1]FSS!G37</f>
        <v>1541807</v>
      </c>
      <c r="AS37" s="38">
        <f>[1]PROTECTION!G46</f>
        <v>1863850.0669006486</v>
      </c>
      <c r="AT37" s="38">
        <f>[1]HEALTH!G37</f>
        <v>1611601</v>
      </c>
      <c r="AU37" s="38">
        <f>[1]WASH!G37</f>
        <v>1366680</v>
      </c>
      <c r="AV37" s="38">
        <f>[1]Shelter!G37</f>
        <v>663103</v>
      </c>
    </row>
    <row r="38" spans="1:48" ht="15.5" x14ac:dyDescent="0.35">
      <c r="M38" s="71"/>
      <c r="P38" s="71"/>
      <c r="S38" s="118">
        <f>S36/G36</f>
        <v>0.26284890460167792</v>
      </c>
      <c r="T38" s="118">
        <f>T36/G36</f>
        <v>0.25561095986008564</v>
      </c>
      <c r="U38" s="118">
        <f>U36/G36</f>
        <v>0.24357752539122937</v>
      </c>
      <c r="V38" s="118">
        <f>V36/G36</f>
        <v>0.23687024741437362</v>
      </c>
      <c r="W38" s="118">
        <f>W36/G36</f>
        <v>2.7530738021576562E-2</v>
      </c>
      <c r="AB38" s="87">
        <f>AB37/AA37</f>
        <v>0.57248453241536168</v>
      </c>
      <c r="AF38" s="87">
        <f>AF37/AE37</f>
        <v>0.43065141484276287</v>
      </c>
    </row>
    <row r="39" spans="1:48" x14ac:dyDescent="0.35">
      <c r="O39" s="118"/>
      <c r="P39" s="118">
        <f>P35/F35</f>
        <v>0.20792251207669854</v>
      </c>
      <c r="Q39" s="118">
        <f>Q35/F35</f>
        <v>3.3626791759602544E-2</v>
      </c>
      <c r="R39" s="118">
        <f>R35/F35</f>
        <v>6.8830250188809386E-3</v>
      </c>
    </row>
    <row r="40" spans="1:48" x14ac:dyDescent="0.35">
      <c r="P40" s="118">
        <f>P36/F36</f>
        <v>0.29079118581398772</v>
      </c>
      <c r="Q40" s="118">
        <f>Q36/F36</f>
        <v>0.26385351176803806</v>
      </c>
      <c r="R40" s="118">
        <f>R36/F36</f>
        <v>1.9349417192542222E-2</v>
      </c>
    </row>
    <row r="41" spans="1:48" s="92" customFormat="1" ht="29" x14ac:dyDescent="0.35">
      <c r="A41" s="2">
        <v>3</v>
      </c>
      <c r="B41" s="88" t="s">
        <v>118</v>
      </c>
      <c r="C41" s="89" t="s">
        <v>144</v>
      </c>
      <c r="D41" s="89" t="s">
        <v>145</v>
      </c>
      <c r="E41" s="89" t="s">
        <v>146</v>
      </c>
      <c r="F41" s="90" t="s">
        <v>147</v>
      </c>
      <c r="G41" s="91" t="s">
        <v>148</v>
      </c>
      <c r="H41" s="90" t="s">
        <v>75</v>
      </c>
      <c r="I41" s="8" t="s">
        <v>149</v>
      </c>
      <c r="J41" s="90" t="s">
        <v>150</v>
      </c>
      <c r="K41" s="90" t="s">
        <v>151</v>
      </c>
      <c r="L41" s="90" t="s">
        <v>76</v>
      </c>
      <c r="M41" s="89" t="s">
        <v>77</v>
      </c>
      <c r="N41" s="89" t="s">
        <v>78</v>
      </c>
      <c r="O41" s="89" t="s">
        <v>79</v>
      </c>
      <c r="P41" s="91" t="s">
        <v>80</v>
      </c>
      <c r="Q41" s="90" t="s">
        <v>152</v>
      </c>
      <c r="R41" s="89" t="s">
        <v>82</v>
      </c>
      <c r="S41" s="89" t="s">
        <v>83</v>
      </c>
      <c r="T41" s="89" t="s">
        <v>84</v>
      </c>
      <c r="U41" s="91" t="s">
        <v>85</v>
      </c>
      <c r="V41" s="109" t="s">
        <v>106</v>
      </c>
      <c r="W41" s="110" t="s">
        <v>107</v>
      </c>
      <c r="X41" s="110" t="s">
        <v>5</v>
      </c>
      <c r="Y41" s="110" t="s">
        <v>3</v>
      </c>
      <c r="Z41" s="110" t="s">
        <v>7</v>
      </c>
      <c r="AA41" s="111" t="s">
        <v>6</v>
      </c>
      <c r="AG41" s="1"/>
      <c r="AH41" s="1"/>
      <c r="AI41" s="1"/>
      <c r="AJ41" s="1"/>
      <c r="AK41" s="1"/>
    </row>
    <row r="42" spans="1:48" x14ac:dyDescent="0.35">
      <c r="B42" s="58" t="s">
        <v>108</v>
      </c>
      <c r="C42" s="1" t="s">
        <v>153</v>
      </c>
      <c r="D42" s="26">
        <v>345875</v>
      </c>
      <c r="E42" s="26">
        <v>352875</v>
      </c>
      <c r="F42" s="96">
        <v>33428.395273980794</v>
      </c>
      <c r="G42" s="27">
        <v>319446.6047260192</v>
      </c>
      <c r="H42" s="24">
        <v>0.120209832</v>
      </c>
      <c r="I42" s="27">
        <v>42419.044467</v>
      </c>
      <c r="J42" s="26">
        <v>8691.3827712350067</v>
      </c>
      <c r="K42" s="27">
        <v>33727.661695764997</v>
      </c>
      <c r="L42" s="24">
        <v>0.30697371600000001</v>
      </c>
      <c r="M42" s="24">
        <v>0.57281645199999998</v>
      </c>
      <c r="N42" s="24">
        <v>0.105213241</v>
      </c>
      <c r="O42" s="24">
        <v>1.2021033082890544E-2</v>
      </c>
      <c r="P42" s="29">
        <v>2.975557917109458E-3</v>
      </c>
      <c r="Q42" s="96">
        <v>108323.3500335</v>
      </c>
      <c r="R42" s="26">
        <v>202132.6054995</v>
      </c>
      <c r="S42" s="26">
        <v>37127.122417874998</v>
      </c>
      <c r="T42" s="26">
        <v>4241.9220491250007</v>
      </c>
      <c r="U42" s="27">
        <v>1050</v>
      </c>
      <c r="V42" s="67" t="e">
        <f>#REF!</f>
        <v>#REF!</v>
      </c>
      <c r="W42" s="59" t="e">
        <f>#REF!</f>
        <v>#REF!</v>
      </c>
      <c r="X42" s="49" t="e">
        <f>#REF!</f>
        <v>#REF!</v>
      </c>
      <c r="Y42" s="49" t="e">
        <f>#REF!</f>
        <v>#REF!</v>
      </c>
      <c r="Z42" s="49" t="e">
        <f>#REF!</f>
        <v>#REF!</v>
      </c>
      <c r="AA42" s="112" t="e">
        <f>#REF!</f>
        <v>#REF!</v>
      </c>
      <c r="AB42" s="108"/>
    </row>
    <row r="43" spans="1:48" x14ac:dyDescent="0.35">
      <c r="B43" s="58" t="s">
        <v>108</v>
      </c>
      <c r="C43" s="1" t="s">
        <v>154</v>
      </c>
      <c r="D43" s="26">
        <v>67340</v>
      </c>
      <c r="E43" s="26">
        <v>68779</v>
      </c>
      <c r="F43" s="96">
        <v>2884.6259997180487</v>
      </c>
      <c r="G43" s="27">
        <v>65894.374000281954</v>
      </c>
      <c r="H43" s="24">
        <v>0.11594792900000001</v>
      </c>
      <c r="I43" s="27">
        <v>7974.782608691</v>
      </c>
      <c r="J43" s="26">
        <v>750.00275992669265</v>
      </c>
      <c r="K43" s="27">
        <v>7224.7798487643076</v>
      </c>
      <c r="L43" s="24">
        <v>0.43134035399999998</v>
      </c>
      <c r="M43" s="24">
        <v>0.45271171700000001</v>
      </c>
      <c r="N43" s="24">
        <v>0.109624308</v>
      </c>
      <c r="O43" s="24">
        <v>6.0012499999999996E-4</v>
      </c>
      <c r="P43" s="29">
        <v>5.7234959999999998E-3</v>
      </c>
      <c r="Q43" s="96">
        <v>29667.158207765999</v>
      </c>
      <c r="R43" s="26">
        <v>31137.059183543002</v>
      </c>
      <c r="S43" s="26">
        <v>7539.8502799320004</v>
      </c>
      <c r="T43" s="26">
        <v>41.275997374999996</v>
      </c>
      <c r="U43" s="27">
        <v>393.656331384</v>
      </c>
      <c r="V43" s="67" t="e">
        <f>#REF!</f>
        <v>#REF!</v>
      </c>
      <c r="W43" s="59" t="e">
        <f>#REF!</f>
        <v>#REF!</v>
      </c>
      <c r="X43" s="49" t="e">
        <f>#REF!</f>
        <v>#REF!</v>
      </c>
      <c r="Y43" s="49" t="e">
        <f>#REF!</f>
        <v>#REF!</v>
      </c>
      <c r="Z43" s="49" t="e">
        <f>#REF!</f>
        <v>#REF!</v>
      </c>
      <c r="AA43" s="112" t="e">
        <f>#REF!</f>
        <v>#REF!</v>
      </c>
      <c r="AB43" s="108"/>
      <c r="AL43" s="118"/>
    </row>
    <row r="44" spans="1:48" x14ac:dyDescent="0.35">
      <c r="B44" s="58" t="s">
        <v>108</v>
      </c>
      <c r="C44" s="1" t="s">
        <v>155</v>
      </c>
      <c r="D44" s="26">
        <v>202401</v>
      </c>
      <c r="E44" s="26">
        <v>205946</v>
      </c>
      <c r="F44" s="96">
        <v>26998.717050427636</v>
      </c>
      <c r="G44" s="27">
        <v>178947.28294957237</v>
      </c>
      <c r="H44" s="24">
        <v>0.24556824099999999</v>
      </c>
      <c r="I44" s="27">
        <v>50573.796960986001</v>
      </c>
      <c r="J44" s="26">
        <v>6630.0274553302224</v>
      </c>
      <c r="K44" s="27">
        <v>43943.769505655779</v>
      </c>
      <c r="L44" s="24">
        <v>0.145364717</v>
      </c>
      <c r="M44" s="24">
        <v>0.60906704099999998</v>
      </c>
      <c r="N44" s="24">
        <v>0.18590538100000001</v>
      </c>
      <c r="O44" s="24">
        <v>5.3593307787284036E-2</v>
      </c>
      <c r="P44" s="29">
        <v>6.0695522127159549E-3</v>
      </c>
      <c r="Q44" s="96">
        <v>29937.282007282</v>
      </c>
      <c r="R44" s="26">
        <v>125434.920825786</v>
      </c>
      <c r="S44" s="26">
        <v>38286.469595426002</v>
      </c>
      <c r="T44" s="26">
        <v>11037.327365559999</v>
      </c>
      <c r="U44" s="27">
        <v>1250</v>
      </c>
      <c r="V44" s="67" t="e">
        <f>#REF!</f>
        <v>#REF!</v>
      </c>
      <c r="W44" s="59" t="e">
        <f>#REF!</f>
        <v>#REF!</v>
      </c>
      <c r="X44" s="49" t="e">
        <f>#REF!</f>
        <v>#REF!</v>
      </c>
      <c r="Y44" s="49" t="e">
        <f>#REF!</f>
        <v>#REF!</v>
      </c>
      <c r="Z44" s="49" t="e">
        <f>#REF!</f>
        <v>#REF!</v>
      </c>
      <c r="AA44" s="112" t="e">
        <f>#REF!</f>
        <v>#REF!</v>
      </c>
      <c r="AB44" s="108"/>
      <c r="AL44" s="118"/>
    </row>
    <row r="45" spans="1:48" x14ac:dyDescent="0.35">
      <c r="B45" s="58" t="s">
        <v>108</v>
      </c>
      <c r="C45" s="1" t="s">
        <v>156</v>
      </c>
      <c r="D45" s="26">
        <v>423572</v>
      </c>
      <c r="E45" s="26">
        <v>431584</v>
      </c>
      <c r="F45" s="96">
        <v>19262.36446991887</v>
      </c>
      <c r="G45" s="27">
        <v>412321.63553008111</v>
      </c>
      <c r="H45" s="24">
        <v>0.44419155299999996</v>
      </c>
      <c r="I45" s="27">
        <v>191705.96720995198</v>
      </c>
      <c r="J45" s="26">
        <v>8556.1795883452851</v>
      </c>
      <c r="K45" s="27">
        <v>183149.78762160669</v>
      </c>
      <c r="L45" s="24">
        <v>8.9086077E-2</v>
      </c>
      <c r="M45" s="24">
        <v>0.46672237</v>
      </c>
      <c r="N45" s="24">
        <v>0.38756482399999997</v>
      </c>
      <c r="O45" s="24">
        <v>4.909632935589827E-2</v>
      </c>
      <c r="P45" s="29">
        <v>7.5303996441017278E-3</v>
      </c>
      <c r="Q45" s="96">
        <v>38448.125455968002</v>
      </c>
      <c r="R45" s="26">
        <v>201429.90733408</v>
      </c>
      <c r="S45" s="26">
        <v>167266.77700121599</v>
      </c>
      <c r="T45" s="26">
        <v>21189.190208735999</v>
      </c>
      <c r="U45" s="27">
        <v>3250</v>
      </c>
      <c r="V45" s="67" t="e">
        <f>#REF!</f>
        <v>#REF!</v>
      </c>
      <c r="W45" s="59" t="e">
        <f>#REF!</f>
        <v>#REF!</v>
      </c>
      <c r="X45" s="49" t="e">
        <f>#REF!</f>
        <v>#REF!</v>
      </c>
      <c r="Y45" s="49" t="e">
        <f>#REF!</f>
        <v>#REF!</v>
      </c>
      <c r="Z45" s="49" t="e">
        <f>#REF!</f>
        <v>#REF!</v>
      </c>
      <c r="AA45" s="112" t="e">
        <f>#REF!</f>
        <v>#REF!</v>
      </c>
      <c r="AB45" s="108"/>
      <c r="AL45" s="118"/>
    </row>
    <row r="46" spans="1:48" x14ac:dyDescent="0.35">
      <c r="B46" s="58" t="s">
        <v>108</v>
      </c>
      <c r="C46" s="1" t="s">
        <v>157</v>
      </c>
      <c r="D46" s="26">
        <v>124332</v>
      </c>
      <c r="E46" s="26">
        <v>127025</v>
      </c>
      <c r="F46" s="96">
        <v>20631.988908452913</v>
      </c>
      <c r="G46" s="27">
        <v>106393.01109154709</v>
      </c>
      <c r="H46" s="24">
        <v>0.16674053300000002</v>
      </c>
      <c r="I46" s="27">
        <v>21180.216204325003</v>
      </c>
      <c r="J46" s="26">
        <v>4951.6773380286986</v>
      </c>
      <c r="K46" s="27">
        <v>16228.538866296305</v>
      </c>
      <c r="L46" s="24">
        <v>0.273979319</v>
      </c>
      <c r="M46" s="24">
        <v>0.55928014800000003</v>
      </c>
      <c r="N46" s="24">
        <v>0.147058824</v>
      </c>
      <c r="O46" s="24">
        <v>7.2387859999999997E-3</v>
      </c>
      <c r="P46" s="29">
        <v>1.2442923E-2</v>
      </c>
      <c r="Q46" s="96">
        <v>34802.222995974997</v>
      </c>
      <c r="R46" s="26">
        <v>71042.560799700004</v>
      </c>
      <c r="S46" s="26">
        <v>18680.147118600002</v>
      </c>
      <c r="T46" s="26">
        <v>919.50679164999997</v>
      </c>
      <c r="U46" s="27">
        <v>1580.562294075</v>
      </c>
      <c r="V46" s="67" t="e">
        <f>#REF!</f>
        <v>#REF!</v>
      </c>
      <c r="W46" s="59" t="e">
        <f>#REF!</f>
        <v>#REF!</v>
      </c>
      <c r="X46" s="49" t="e">
        <f>#REF!</f>
        <v>#REF!</v>
      </c>
      <c r="Y46" s="49" t="e">
        <f>#REF!</f>
        <v>#REF!</v>
      </c>
      <c r="Z46" s="49" t="e">
        <f>#REF!</f>
        <v>#REF!</v>
      </c>
      <c r="AA46" s="112" t="e">
        <f>#REF!</f>
        <v>#REF!</v>
      </c>
      <c r="AB46" s="108"/>
      <c r="AL46" s="118"/>
      <c r="AM46" s="117"/>
    </row>
    <row r="47" spans="1:48" x14ac:dyDescent="0.35">
      <c r="B47" s="58" t="s">
        <v>108</v>
      </c>
      <c r="C47" s="1" t="s">
        <v>158</v>
      </c>
      <c r="D47" s="26">
        <v>84000</v>
      </c>
      <c r="E47" s="26">
        <v>85920</v>
      </c>
      <c r="F47" s="96">
        <v>16556.755603654379</v>
      </c>
      <c r="G47" s="27">
        <v>69363.244396345617</v>
      </c>
      <c r="H47" s="24">
        <v>0.127086744</v>
      </c>
      <c r="I47" s="27">
        <v>10919.29304448</v>
      </c>
      <c r="J47" s="26">
        <v>3973.6213448770509</v>
      </c>
      <c r="K47" s="27">
        <v>6945.67169960295</v>
      </c>
      <c r="L47" s="24">
        <v>0.350269999</v>
      </c>
      <c r="M47" s="24">
        <v>0.52264325700000003</v>
      </c>
      <c r="N47" s="24">
        <v>0.11632055099999999</v>
      </c>
      <c r="O47" s="24">
        <v>0</v>
      </c>
      <c r="P47" s="29">
        <v>1.0766193E-2</v>
      </c>
      <c r="Q47" s="96">
        <v>30095.19831408</v>
      </c>
      <c r="R47" s="26">
        <v>44905.508641439999</v>
      </c>
      <c r="S47" s="26">
        <v>9994.2617419199996</v>
      </c>
      <c r="T47" s="26">
        <v>0</v>
      </c>
      <c r="U47" s="27">
        <v>925.03130255999997</v>
      </c>
      <c r="V47" s="67" t="e">
        <f>#REF!</f>
        <v>#REF!</v>
      </c>
      <c r="W47" s="59" t="e">
        <f>#REF!</f>
        <v>#REF!</v>
      </c>
      <c r="X47" s="49" t="e">
        <f>#REF!</f>
        <v>#REF!</v>
      </c>
      <c r="Y47" s="49" t="e">
        <f>#REF!</f>
        <v>#REF!</v>
      </c>
      <c r="Z47" s="49" t="e">
        <f>#REF!</f>
        <v>#REF!</v>
      </c>
      <c r="AA47" s="112" t="e">
        <f>#REF!</f>
        <v>#REF!</v>
      </c>
      <c r="AB47" s="108"/>
      <c r="AL47" s="118"/>
    </row>
    <row r="48" spans="1:48" x14ac:dyDescent="0.35">
      <c r="B48" s="58" t="s">
        <v>108</v>
      </c>
      <c r="C48" s="1" t="s">
        <v>159</v>
      </c>
      <c r="D48" s="26">
        <v>362602</v>
      </c>
      <c r="E48" s="26">
        <v>370030</v>
      </c>
      <c r="F48" s="96">
        <v>45691.816048707406</v>
      </c>
      <c r="G48" s="27">
        <v>324338.18395129259</v>
      </c>
      <c r="H48" s="24">
        <v>0.19023182899999999</v>
      </c>
      <c r="I48" s="27">
        <v>70391.483684869992</v>
      </c>
      <c r="J48" s="26">
        <v>8692.0377372771618</v>
      </c>
      <c r="K48" s="27">
        <v>61699.445947592831</v>
      </c>
      <c r="L48" s="24">
        <v>0.30232767799999999</v>
      </c>
      <c r="M48" s="24">
        <v>0.50744049300000005</v>
      </c>
      <c r="N48" s="24">
        <v>9.2090777999999998E-2</v>
      </c>
      <c r="O48" s="24">
        <v>9.2624327958999983E-2</v>
      </c>
      <c r="P48" s="29">
        <v>5.5167230409999997E-3</v>
      </c>
      <c r="Q48" s="96">
        <v>111870.31069033999</v>
      </c>
      <c r="R48" s="26">
        <v>187768.20562479002</v>
      </c>
      <c r="S48" s="26">
        <v>34076.350583339998</v>
      </c>
      <c r="T48" s="26">
        <v>34273.780074668764</v>
      </c>
      <c r="U48" s="27">
        <v>2041.3530268612299</v>
      </c>
      <c r="V48" s="67" t="e">
        <f>#REF!</f>
        <v>#REF!</v>
      </c>
      <c r="W48" s="59" t="e">
        <f>#REF!</f>
        <v>#REF!</v>
      </c>
      <c r="X48" s="49" t="e">
        <f>#REF!</f>
        <v>#REF!</v>
      </c>
      <c r="Y48" s="49" t="e">
        <f>#REF!</f>
        <v>#REF!</v>
      </c>
      <c r="Z48" s="49" t="e">
        <f>#REF!</f>
        <v>#REF!</v>
      </c>
      <c r="AA48" s="112" t="e">
        <f>#REF!</f>
        <v>#REF!</v>
      </c>
      <c r="AB48" s="108"/>
      <c r="AL48" s="118"/>
    </row>
    <row r="49" spans="1:39" x14ac:dyDescent="0.35">
      <c r="B49" s="58" t="s">
        <v>108</v>
      </c>
      <c r="C49" s="1" t="s">
        <v>160</v>
      </c>
      <c r="D49" s="26">
        <v>54289</v>
      </c>
      <c r="E49" s="26">
        <v>55268</v>
      </c>
      <c r="F49" s="96">
        <v>10207.393829949213</v>
      </c>
      <c r="G49" s="27">
        <v>45060.606170050785</v>
      </c>
      <c r="H49" s="24">
        <v>0.29729337299999997</v>
      </c>
      <c r="I49" s="27">
        <v>16430.810138964</v>
      </c>
      <c r="J49" s="26">
        <v>3034.5905412449902</v>
      </c>
      <c r="K49" s="27">
        <v>13396.219597719009</v>
      </c>
      <c r="L49" s="24">
        <v>0.29885275300000003</v>
      </c>
      <c r="M49" s="24">
        <v>0.403853874</v>
      </c>
      <c r="N49" s="24">
        <v>0.193545201</v>
      </c>
      <c r="O49" s="24">
        <v>9.5126664183000004E-2</v>
      </c>
      <c r="P49" s="29">
        <v>8.6215078170000028E-3</v>
      </c>
      <c r="Q49" s="96">
        <v>16516.993952804001</v>
      </c>
      <c r="R49" s="26">
        <v>22320.195908231999</v>
      </c>
      <c r="S49" s="26">
        <v>10696.856168868</v>
      </c>
      <c r="T49" s="26">
        <v>5257.4604760660441</v>
      </c>
      <c r="U49" s="27">
        <v>476.49349402995614</v>
      </c>
      <c r="V49" s="67" t="e">
        <f>#REF!</f>
        <v>#REF!</v>
      </c>
      <c r="W49" s="59" t="e">
        <f>#REF!</f>
        <v>#REF!</v>
      </c>
      <c r="X49" s="49" t="e">
        <f>#REF!</f>
        <v>#REF!</v>
      </c>
      <c r="Y49" s="49" t="e">
        <f>#REF!</f>
        <v>#REF!</v>
      </c>
      <c r="Z49" s="49" t="e">
        <f>#REF!</f>
        <v>#REF!</v>
      </c>
      <c r="AA49" s="112" t="e">
        <f>#REF!</f>
        <v>#REF!</v>
      </c>
      <c r="AB49" s="108"/>
      <c r="AL49" s="118"/>
    </row>
    <row r="50" spans="1:39" x14ac:dyDescent="0.35">
      <c r="B50" s="58" t="s">
        <v>108</v>
      </c>
      <c r="C50" s="1" t="s">
        <v>161</v>
      </c>
      <c r="D50" s="26">
        <v>482064</v>
      </c>
      <c r="E50" s="26">
        <v>479324.27155981702</v>
      </c>
      <c r="F50" s="96">
        <v>59886.429823597973</v>
      </c>
      <c r="G50" s="27">
        <v>42432.877276402025</v>
      </c>
      <c r="H50" s="24">
        <v>0.32829511</v>
      </c>
      <c r="I50" s="27">
        <v>157359.8144574</v>
      </c>
      <c r="J50" s="26">
        <v>19660.422066445379</v>
      </c>
      <c r="K50" s="27">
        <v>137699.39239095501</v>
      </c>
      <c r="L50" s="24">
        <v>0.29463216399999997</v>
      </c>
      <c r="M50" s="24">
        <v>0.37707272700000005</v>
      </c>
      <c r="N50" s="24">
        <v>0.29539356</v>
      </c>
      <c r="O50" s="24">
        <v>2.3380991809999994E-2</v>
      </c>
      <c r="P50" s="29">
        <v>9.520558190000002E-3</v>
      </c>
      <c r="Q50" s="96">
        <v>141224.34738739254</v>
      </c>
      <c r="R50" s="26">
        <v>180740.11019434876</v>
      </c>
      <c r="S50" s="26">
        <v>141589.30297046111</v>
      </c>
      <c r="T50" s="26">
        <v>11207.076867674295</v>
      </c>
      <c r="U50" s="27">
        <v>4563.4346192646008</v>
      </c>
      <c r="V50" s="67" t="e">
        <f>#REF!</f>
        <v>#REF!</v>
      </c>
      <c r="W50" s="59" t="e">
        <f>#REF!</f>
        <v>#REF!</v>
      </c>
      <c r="X50" s="49" t="e">
        <f>#REF!</f>
        <v>#REF!</v>
      </c>
      <c r="Y50" s="49" t="e">
        <f>#REF!</f>
        <v>#REF!</v>
      </c>
      <c r="Z50" s="49" t="e">
        <f>#REF!</f>
        <v>#REF!</v>
      </c>
      <c r="AA50" s="112" t="e">
        <f>#REF!</f>
        <v>#REF!</v>
      </c>
      <c r="AB50" s="108"/>
      <c r="AL50" s="118"/>
    </row>
    <row r="51" spans="1:39" x14ac:dyDescent="0.35">
      <c r="B51" s="58" t="s">
        <v>108</v>
      </c>
      <c r="C51" s="1" t="s">
        <v>162</v>
      </c>
      <c r="D51" s="26">
        <v>239740</v>
      </c>
      <c r="E51" s="26">
        <v>244704</v>
      </c>
      <c r="F51" s="96">
        <v>42003.012737377147</v>
      </c>
      <c r="G51" s="27">
        <v>202700.98726262286</v>
      </c>
      <c r="H51" s="24">
        <v>0.24975860699999999</v>
      </c>
      <c r="I51" s="27">
        <v>61116.930167327999</v>
      </c>
      <c r="J51" s="26">
        <v>10490.613951090572</v>
      </c>
      <c r="K51" s="27">
        <v>50626.316216237428</v>
      </c>
      <c r="L51" s="24">
        <v>0.21557298699999999</v>
      </c>
      <c r="M51" s="24">
        <v>0.53466840599999998</v>
      </c>
      <c r="N51" s="24">
        <v>0.15802788699999998</v>
      </c>
      <c r="O51" s="24">
        <v>8.4487720397000005E-2</v>
      </c>
      <c r="P51" s="29">
        <v>7.2429996030000006E-3</v>
      </c>
      <c r="Q51" s="96">
        <v>52751.572210847997</v>
      </c>
      <c r="R51" s="26">
        <v>130835.49762182399</v>
      </c>
      <c r="S51" s="26">
        <v>38670.056060447998</v>
      </c>
      <c r="T51" s="26">
        <v>20674.48313202749</v>
      </c>
      <c r="U51" s="27">
        <v>1772.390974852512</v>
      </c>
      <c r="V51" s="67" t="e">
        <f>#REF!</f>
        <v>#REF!</v>
      </c>
      <c r="W51" s="59" t="e">
        <f>#REF!</f>
        <v>#REF!</v>
      </c>
      <c r="X51" s="49" t="e">
        <f>#REF!</f>
        <v>#REF!</v>
      </c>
      <c r="Y51" s="49" t="e">
        <f>#REF!</f>
        <v>#REF!</v>
      </c>
      <c r="Z51" s="49" t="e">
        <f>#REF!</f>
        <v>#REF!</v>
      </c>
      <c r="AA51" s="112" t="e">
        <f>#REF!</f>
        <v>#REF!</v>
      </c>
      <c r="AB51" s="108"/>
      <c r="AL51" s="118"/>
    </row>
    <row r="52" spans="1:39" x14ac:dyDescent="0.35">
      <c r="B52" s="58" t="s">
        <v>108</v>
      </c>
      <c r="C52" s="1" t="s">
        <v>163</v>
      </c>
      <c r="D52" s="26">
        <v>802172</v>
      </c>
      <c r="E52" s="26">
        <v>822435</v>
      </c>
      <c r="F52" s="96">
        <v>99991.500254215658</v>
      </c>
      <c r="G52" s="27">
        <v>677597.35924578435</v>
      </c>
      <c r="H52" s="24">
        <v>0.21804153800000003</v>
      </c>
      <c r="I52" s="27">
        <v>179324.99230503003</v>
      </c>
      <c r="J52" s="26">
        <v>24997.875063553915</v>
      </c>
      <c r="K52" s="27">
        <v>154327.11724147611</v>
      </c>
      <c r="L52" s="24">
        <v>0.27775887399999999</v>
      </c>
      <c r="M52" s="24">
        <v>0.50419958899999995</v>
      </c>
      <c r="N52" s="24">
        <v>0.18328472000000004</v>
      </c>
      <c r="O52" s="24">
        <v>2.8433613398000004E-2</v>
      </c>
      <c r="P52" s="29">
        <v>6.323204602E-3</v>
      </c>
      <c r="Q52" s="96">
        <v>228438.61953818999</v>
      </c>
      <c r="R52" s="26">
        <v>414671.38897921494</v>
      </c>
      <c r="S52" s="26">
        <v>150739.76869320002</v>
      </c>
      <c r="T52" s="26">
        <v>23384.798834984133</v>
      </c>
      <c r="U52" s="27">
        <v>5200.4247768458699</v>
      </c>
      <c r="V52" s="67" t="e">
        <f>#REF!</f>
        <v>#REF!</v>
      </c>
      <c r="W52" s="59" t="e">
        <f>#REF!</f>
        <v>#REF!</v>
      </c>
      <c r="X52" s="49" t="e">
        <f>#REF!</f>
        <v>#REF!</v>
      </c>
      <c r="Y52" s="49" t="e">
        <f>#REF!</f>
        <v>#REF!</v>
      </c>
      <c r="Z52" s="49" t="e">
        <f>#REF!</f>
        <v>#REF!</v>
      </c>
      <c r="AA52" s="112" t="e">
        <f>#REF!</f>
        <v>#REF!</v>
      </c>
      <c r="AB52" s="108"/>
      <c r="AM52" s="117"/>
    </row>
    <row r="53" spans="1:39" x14ac:dyDescent="0.35">
      <c r="B53" s="58" t="s">
        <v>142</v>
      </c>
      <c r="C53" s="1" t="s">
        <v>116</v>
      </c>
      <c r="D53" s="26">
        <v>430546</v>
      </c>
      <c r="E53" s="26">
        <v>444412</v>
      </c>
      <c r="F53" s="96">
        <v>0</v>
      </c>
      <c r="G53" s="27">
        <v>0</v>
      </c>
      <c r="H53" s="24">
        <v>0.50415602699999995</v>
      </c>
      <c r="I53" s="27">
        <v>224052.98827112399</v>
      </c>
      <c r="J53" s="26">
        <v>0</v>
      </c>
      <c r="K53" s="27">
        <v>0</v>
      </c>
      <c r="L53" s="24">
        <v>9.2518527000000003E-2</v>
      </c>
      <c r="M53" s="24">
        <v>0.40332544599999998</v>
      </c>
      <c r="N53" s="24">
        <v>0.23725905119999999</v>
      </c>
      <c r="O53" s="24">
        <v>0.24348879149999997</v>
      </c>
      <c r="P53" s="29">
        <v>2.3408184300000003E-2</v>
      </c>
      <c r="Q53" s="96">
        <v>41116.343621124004</v>
      </c>
      <c r="R53" s="26">
        <v>179242.66810775199</v>
      </c>
      <c r="S53" s="26">
        <v>105440.76946189439</v>
      </c>
      <c r="T53" s="26">
        <v>108209.34080809799</v>
      </c>
      <c r="U53" s="27">
        <v>10402.878001131601</v>
      </c>
      <c r="V53" s="67" t="e">
        <f>#REF!</f>
        <v>#REF!</v>
      </c>
      <c r="W53" s="59" t="e">
        <f>#REF!</f>
        <v>#REF!</v>
      </c>
      <c r="X53" s="49" t="e">
        <f>#REF!</f>
        <v>#REF!</v>
      </c>
      <c r="Y53" s="49" t="e">
        <f>#REF!</f>
        <v>#REF!</v>
      </c>
      <c r="Z53" s="49" t="e">
        <f>#REF!</f>
        <v>#REF!</v>
      </c>
      <c r="AA53" s="112" t="e">
        <f>#REF!</f>
        <v>#REF!</v>
      </c>
      <c r="AB53" s="108"/>
    </row>
    <row r="54" spans="1:39" x14ac:dyDescent="0.35">
      <c r="B54" s="58" t="s">
        <v>142</v>
      </c>
      <c r="C54" s="1" t="s">
        <v>111</v>
      </c>
      <c r="D54" s="26">
        <v>731212</v>
      </c>
      <c r="E54" s="26">
        <v>749100</v>
      </c>
      <c r="F54" s="96">
        <v>0</v>
      </c>
      <c r="G54" s="27">
        <v>0</v>
      </c>
      <c r="H54" s="24">
        <v>0.51958359600000004</v>
      </c>
      <c r="I54" s="27">
        <v>389220.07176359999</v>
      </c>
      <c r="J54" s="26">
        <v>0</v>
      </c>
      <c r="K54" s="27">
        <v>0</v>
      </c>
      <c r="L54" s="24">
        <v>0.130265625</v>
      </c>
      <c r="M54" s="24">
        <v>0.35015077900000002</v>
      </c>
      <c r="N54" s="24">
        <v>0.28152776600000001</v>
      </c>
      <c r="O54" s="24">
        <v>0.22531658200000002</v>
      </c>
      <c r="P54" s="29">
        <v>1.2739248E-2</v>
      </c>
      <c r="Q54" s="96">
        <v>97581.979687500003</v>
      </c>
      <c r="R54" s="26">
        <v>262297.94854890002</v>
      </c>
      <c r="S54" s="26">
        <v>210892.44951060001</v>
      </c>
      <c r="T54" s="26">
        <v>168784.65157620001</v>
      </c>
      <c r="U54" s="27">
        <v>9542.9706767999996</v>
      </c>
      <c r="V54" s="67" t="e">
        <f>#REF!</f>
        <v>#REF!</v>
      </c>
      <c r="W54" s="59" t="e">
        <f>#REF!</f>
        <v>#REF!</v>
      </c>
      <c r="X54" s="49" t="e">
        <f>#REF!</f>
        <v>#REF!</v>
      </c>
      <c r="Y54" s="49" t="e">
        <f>#REF!</f>
        <v>#REF!</v>
      </c>
      <c r="Z54" s="49" t="e">
        <f>#REF!</f>
        <v>#REF!</v>
      </c>
      <c r="AA54" s="112" t="e">
        <f>#REF!</f>
        <v>#REF!</v>
      </c>
      <c r="AB54" s="108"/>
    </row>
    <row r="55" spans="1:39" x14ac:dyDescent="0.35">
      <c r="B55" s="58" t="s">
        <v>142</v>
      </c>
      <c r="C55" s="1" t="s">
        <v>112</v>
      </c>
      <c r="D55" s="26">
        <v>310820</v>
      </c>
      <c r="E55" s="26">
        <v>319208</v>
      </c>
      <c r="F55" s="96">
        <v>0</v>
      </c>
      <c r="G55" s="27">
        <v>0</v>
      </c>
      <c r="H55" s="24">
        <v>0.61479906699999998</v>
      </c>
      <c r="I55" s="27">
        <v>196248.78057893598</v>
      </c>
      <c r="J55" s="26">
        <v>0</v>
      </c>
      <c r="K55" s="27">
        <v>0</v>
      </c>
      <c r="L55" s="24">
        <v>4.7261445999999999E-2</v>
      </c>
      <c r="M55" s="24">
        <v>0.33793948699999998</v>
      </c>
      <c r="N55" s="24">
        <v>0.30917791979999998</v>
      </c>
      <c r="O55" s="24">
        <v>0.28017863500000001</v>
      </c>
      <c r="P55" s="29">
        <v>2.5442512200000003E-2</v>
      </c>
      <c r="Q55" s="96">
        <v>15086.231654768</v>
      </c>
      <c r="R55" s="26">
        <v>107872.98776629599</v>
      </c>
      <c r="S55" s="26">
        <v>98692.06542351839</v>
      </c>
      <c r="T55" s="26">
        <v>89435.261721079994</v>
      </c>
      <c r="U55" s="27">
        <v>8121.4534343376008</v>
      </c>
      <c r="V55" s="67" t="e">
        <f>#REF!</f>
        <v>#REF!</v>
      </c>
      <c r="W55" s="59" t="e">
        <f>#REF!</f>
        <v>#REF!</v>
      </c>
      <c r="X55" s="49" t="e">
        <f>#REF!</f>
        <v>#REF!</v>
      </c>
      <c r="Y55" s="49" t="e">
        <f>#REF!</f>
        <v>#REF!</v>
      </c>
      <c r="Z55" s="49" t="e">
        <f>#REF!</f>
        <v>#REF!</v>
      </c>
      <c r="AA55" s="112" t="e">
        <f>#REF!</f>
        <v>#REF!</v>
      </c>
      <c r="AB55" s="108"/>
    </row>
    <row r="56" spans="1:39" x14ac:dyDescent="0.35">
      <c r="B56" s="58" t="s">
        <v>142</v>
      </c>
      <c r="C56" s="1" t="s">
        <v>115</v>
      </c>
      <c r="D56" s="26">
        <v>426056</v>
      </c>
      <c r="E56" s="26">
        <v>438557</v>
      </c>
      <c r="F56" s="96">
        <v>0</v>
      </c>
      <c r="G56" s="27">
        <v>0</v>
      </c>
      <c r="H56" s="24">
        <v>0.66851614200000009</v>
      </c>
      <c r="I56" s="27">
        <v>293182.43368709402</v>
      </c>
      <c r="J56" s="26">
        <v>0</v>
      </c>
      <c r="K56" s="27">
        <v>0</v>
      </c>
      <c r="L56" s="24">
        <v>6.3369301000000003E-2</v>
      </c>
      <c r="M56" s="24">
        <v>0.26811455699999998</v>
      </c>
      <c r="N56" s="24">
        <v>0.34250094959999999</v>
      </c>
      <c r="O56" s="24">
        <v>0.30254884500000001</v>
      </c>
      <c r="P56" s="29">
        <v>2.34663474E-2</v>
      </c>
      <c r="Q56" s="96">
        <v>27791.050538657</v>
      </c>
      <c r="R56" s="26">
        <v>117583.51577424898</v>
      </c>
      <c r="S56" s="26">
        <v>150206.18895372719</v>
      </c>
      <c r="T56" s="26">
        <v>132684.91381666501</v>
      </c>
      <c r="U56" s="27">
        <v>10291.3309167018</v>
      </c>
      <c r="V56" s="67" t="e">
        <f>#REF!</f>
        <v>#REF!</v>
      </c>
      <c r="W56" s="59" t="e">
        <f>#REF!</f>
        <v>#REF!</v>
      </c>
      <c r="X56" s="49" t="e">
        <f>#REF!</f>
        <v>#REF!</v>
      </c>
      <c r="Y56" s="49" t="e">
        <f>#REF!</f>
        <v>#REF!</v>
      </c>
      <c r="Z56" s="49" t="e">
        <f>#REF!</f>
        <v>#REF!</v>
      </c>
      <c r="AA56" s="112" t="e">
        <f>#REF!</f>
        <v>#REF!</v>
      </c>
      <c r="AB56" s="108"/>
    </row>
    <row r="57" spans="1:39" x14ac:dyDescent="0.35">
      <c r="B57" s="35" t="s">
        <v>142</v>
      </c>
      <c r="C57" s="36" t="s">
        <v>117</v>
      </c>
      <c r="D57" s="32">
        <v>267635</v>
      </c>
      <c r="E57" s="32">
        <v>275267</v>
      </c>
      <c r="F57" s="103">
        <v>0</v>
      </c>
      <c r="G57" s="104">
        <v>0</v>
      </c>
      <c r="H57" s="105">
        <v>0.63690481600000004</v>
      </c>
      <c r="I57" s="104">
        <v>175318.87798587201</v>
      </c>
      <c r="J57" s="32">
        <v>0</v>
      </c>
      <c r="K57" s="104">
        <v>0</v>
      </c>
      <c r="L57" s="105">
        <v>4.6348566000000001E-2</v>
      </c>
      <c r="M57" s="105">
        <v>0.31674661900000001</v>
      </c>
      <c r="N57" s="105">
        <v>0.29872050292000002</v>
      </c>
      <c r="O57" s="105">
        <v>0.32102389891999999</v>
      </c>
      <c r="P57" s="106">
        <v>1.7160414160000026E-2</v>
      </c>
      <c r="Q57" s="103">
        <v>12758.230717122</v>
      </c>
      <c r="R57" s="32">
        <v>87189.891572273002</v>
      </c>
      <c r="S57" s="32">
        <v>82227.896677279641</v>
      </c>
      <c r="T57" s="32">
        <v>88367.285584011639</v>
      </c>
      <c r="U57" s="104">
        <v>4723.6957245807271</v>
      </c>
      <c r="V57" s="113" t="e">
        <f>#REF!</f>
        <v>#REF!</v>
      </c>
      <c r="W57" s="74" t="e">
        <f>#REF!</f>
        <v>#REF!</v>
      </c>
      <c r="X57" s="49" t="e">
        <f>#REF!</f>
        <v>#REF!</v>
      </c>
      <c r="Y57" s="114" t="e">
        <f>#REF!</f>
        <v>#REF!</v>
      </c>
      <c r="Z57" s="114" t="e">
        <f>#REF!</f>
        <v>#REF!</v>
      </c>
      <c r="AA57" s="115" t="e">
        <f>#REF!</f>
        <v>#REF!</v>
      </c>
      <c r="AB57" s="108"/>
    </row>
    <row r="61" spans="1:39" ht="26" x14ac:dyDescent="0.35">
      <c r="A61" s="2">
        <v>4</v>
      </c>
      <c r="C61" s="92"/>
      <c r="D61" s="93"/>
      <c r="E61" s="94" t="s">
        <v>143</v>
      </c>
      <c r="F61" s="94" t="s">
        <v>142</v>
      </c>
      <c r="G61" s="95" t="s">
        <v>164</v>
      </c>
      <c r="H61" s="92"/>
      <c r="R61" s="107"/>
    </row>
    <row r="62" spans="1:39" x14ac:dyDescent="0.35">
      <c r="D62" s="97" t="s">
        <v>86</v>
      </c>
      <c r="E62" s="98">
        <v>0.24930462707176651</v>
      </c>
      <c r="F62" s="98">
        <v>0.26284890460167792</v>
      </c>
      <c r="G62" s="99">
        <v>0.2425029591643971</v>
      </c>
      <c r="R62" s="107"/>
    </row>
    <row r="63" spans="1:39" x14ac:dyDescent="0.35">
      <c r="D63" s="97" t="s">
        <v>126</v>
      </c>
      <c r="E63" s="98">
        <v>0.24058172042743409</v>
      </c>
      <c r="F63" s="98">
        <v>0.25561095986008564</v>
      </c>
      <c r="G63" s="99">
        <v>0.23283435304746011</v>
      </c>
      <c r="R63" s="107"/>
    </row>
    <row r="64" spans="1:39" x14ac:dyDescent="0.35">
      <c r="D64" s="97" t="s">
        <v>88</v>
      </c>
      <c r="E64" s="98">
        <v>0.25631253264836446</v>
      </c>
      <c r="F64" s="98">
        <v>0.24357752539122945</v>
      </c>
      <c r="G64" s="99">
        <v>0.26729341816591201</v>
      </c>
      <c r="R64" s="107"/>
    </row>
    <row r="65" spans="4:18" x14ac:dyDescent="0.35">
      <c r="D65" s="97" t="s">
        <v>89</v>
      </c>
      <c r="E65" s="98">
        <v>0.25631253264836446</v>
      </c>
      <c r="F65" s="98">
        <v>0.23687024741437365</v>
      </c>
      <c r="G65" s="99">
        <v>0.25663641510582175</v>
      </c>
      <c r="R65" s="107"/>
    </row>
    <row r="66" spans="4:18" x14ac:dyDescent="0.35">
      <c r="D66" s="100" t="s">
        <v>90</v>
      </c>
      <c r="E66" s="101">
        <v>3.2186537883903799E-2</v>
      </c>
      <c r="F66" s="101">
        <v>2.7530738021576566E-2</v>
      </c>
      <c r="G66" s="102">
        <v>3.5607765175680546E-2</v>
      </c>
    </row>
    <row r="86" spans="9:14" x14ac:dyDescent="0.35">
      <c r="L86" s="89"/>
      <c r="M86" s="90"/>
      <c r="N86" s="91"/>
    </row>
    <row r="87" spans="9:14" x14ac:dyDescent="0.35">
      <c r="J87" s="107"/>
      <c r="M87" s="96"/>
      <c r="N87" s="27"/>
    </row>
    <row r="88" spans="9:14" x14ac:dyDescent="0.35">
      <c r="J88" s="107"/>
      <c r="M88" s="96"/>
      <c r="N88" s="27"/>
    </row>
    <row r="89" spans="9:14" x14ac:dyDescent="0.35">
      <c r="J89" s="107"/>
      <c r="M89" s="96"/>
      <c r="N89" s="27"/>
    </row>
    <row r="90" spans="9:14" x14ac:dyDescent="0.35">
      <c r="J90" s="107"/>
      <c r="M90" s="96"/>
      <c r="N90" s="27"/>
    </row>
    <row r="91" spans="9:14" x14ac:dyDescent="0.35">
      <c r="J91" s="107"/>
      <c r="M91" s="96"/>
      <c r="N91" s="27"/>
    </row>
    <row r="92" spans="9:14" x14ac:dyDescent="0.35">
      <c r="J92" s="107"/>
      <c r="M92" s="96"/>
      <c r="N92" s="27"/>
    </row>
    <row r="93" spans="9:14" x14ac:dyDescent="0.35">
      <c r="J93" s="107"/>
      <c r="M93" s="96"/>
      <c r="N93" s="27"/>
    </row>
    <row r="94" spans="9:14" x14ac:dyDescent="0.35">
      <c r="J94" s="107"/>
      <c r="M94" s="96"/>
      <c r="N94" s="27"/>
    </row>
    <row r="95" spans="9:14" x14ac:dyDescent="0.35">
      <c r="J95" s="107"/>
      <c r="M95" s="96"/>
      <c r="N95" s="27"/>
    </row>
    <row r="96" spans="9:14" x14ac:dyDescent="0.35">
      <c r="J96" s="107"/>
      <c r="M96" s="96"/>
      <c r="N96" s="27"/>
    </row>
    <row r="97" spans="9:14" x14ac:dyDescent="0.35">
      <c r="J97" s="107"/>
      <c r="M97" s="96"/>
      <c r="N97" s="27"/>
    </row>
    <row r="98" spans="9:14" x14ac:dyDescent="0.35">
      <c r="J98" s="107"/>
    </row>
    <row r="99" spans="9:14" x14ac:dyDescent="0.35">
      <c r="J99" s="107"/>
    </row>
    <row r="100" spans="9:14" x14ac:dyDescent="0.35">
      <c r="J100" s="107"/>
    </row>
    <row r="101" spans="9:14" x14ac:dyDescent="0.35">
      <c r="J101" s="107"/>
    </row>
    <row r="102" spans="9:14" x14ac:dyDescent="0.35">
      <c r="I102" s="36"/>
      <c r="J102" s="107"/>
    </row>
    <row r="258" hidden="1" x14ac:dyDescent="0.35"/>
  </sheetData>
  <mergeCells count="2">
    <mergeCell ref="B17:G18"/>
    <mergeCell ref="Z19:AL19"/>
  </mergeCells>
  <pageMargins left="0.7" right="0.7" top="0.75" bottom="0.75" header="0.3" footer="0.3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332FA-19D3-43AD-9F8F-1F8E37DC2BC8}">
  <dimension ref="A1:H18"/>
  <sheetViews>
    <sheetView tabSelected="1" workbookViewId="0">
      <selection activeCell="G3" sqref="G3"/>
    </sheetView>
  </sheetViews>
  <sheetFormatPr defaultRowHeight="14.5" x14ac:dyDescent="0.35"/>
  <cols>
    <col min="1" max="1" width="12.26953125" bestFit="1" customWidth="1"/>
    <col min="2" max="2" width="19.453125" bestFit="1" customWidth="1"/>
    <col min="8" max="8" width="8.54296875" bestFit="1" customWidth="1"/>
  </cols>
  <sheetData>
    <row r="1" spans="1:8" ht="43.5" x14ac:dyDescent="0.35">
      <c r="A1" s="126" t="s">
        <v>118</v>
      </c>
      <c r="B1" s="127" t="s">
        <v>144</v>
      </c>
      <c r="C1" s="127" t="s">
        <v>145</v>
      </c>
      <c r="D1" s="127" t="s">
        <v>146</v>
      </c>
      <c r="E1" s="128" t="s">
        <v>147</v>
      </c>
      <c r="F1" s="129" t="s">
        <v>148</v>
      </c>
      <c r="G1" s="128" t="s">
        <v>75</v>
      </c>
      <c r="H1" s="8" t="s">
        <v>149</v>
      </c>
    </row>
    <row r="2" spans="1:8" ht="29" x14ac:dyDescent="0.35">
      <c r="A2" s="130" t="s">
        <v>165</v>
      </c>
      <c r="B2" s="130" t="s">
        <v>166</v>
      </c>
      <c r="C2" s="131"/>
      <c r="D2" s="131"/>
      <c r="E2" s="132"/>
      <c r="F2" s="133"/>
      <c r="G2" s="132" t="s">
        <v>168</v>
      </c>
      <c r="H2" s="134" t="s">
        <v>167</v>
      </c>
    </row>
    <row r="3" spans="1:8" x14ac:dyDescent="0.35">
      <c r="A3" s="58" t="s">
        <v>108</v>
      </c>
      <c r="B3" s="1" t="s">
        <v>153</v>
      </c>
      <c r="C3" s="26">
        <v>345875</v>
      </c>
      <c r="D3" s="26">
        <v>352875</v>
      </c>
      <c r="E3" s="96">
        <v>33428.395273980794</v>
      </c>
      <c r="F3" s="27">
        <v>319446.6047260192</v>
      </c>
      <c r="G3" s="24">
        <v>0.120209832</v>
      </c>
      <c r="H3" s="27">
        <v>42419.044467</v>
      </c>
    </row>
    <row r="4" spans="1:8" x14ac:dyDescent="0.35">
      <c r="A4" s="58" t="s">
        <v>108</v>
      </c>
      <c r="B4" s="1" t="s">
        <v>154</v>
      </c>
      <c r="C4" s="26">
        <v>67340</v>
      </c>
      <c r="D4" s="26">
        <v>68779</v>
      </c>
      <c r="E4" s="96">
        <v>2884.6259997180487</v>
      </c>
      <c r="F4" s="27">
        <v>65894.374000281954</v>
      </c>
      <c r="G4" s="24">
        <v>0.11594792900000001</v>
      </c>
      <c r="H4" s="27">
        <v>7974.782608691</v>
      </c>
    </row>
    <row r="5" spans="1:8" x14ac:dyDescent="0.35">
      <c r="A5" s="58" t="s">
        <v>108</v>
      </c>
      <c r="B5" s="1" t="s">
        <v>155</v>
      </c>
      <c r="C5" s="26">
        <v>202401</v>
      </c>
      <c r="D5" s="26">
        <v>205946</v>
      </c>
      <c r="E5" s="96">
        <v>26998.717050427636</v>
      </c>
      <c r="F5" s="27">
        <v>178947.28294957237</v>
      </c>
      <c r="G5" s="24">
        <v>0.24556824099999999</v>
      </c>
      <c r="H5" s="27">
        <v>50573.796960986001</v>
      </c>
    </row>
    <row r="6" spans="1:8" x14ac:dyDescent="0.35">
      <c r="A6" s="58" t="s">
        <v>108</v>
      </c>
      <c r="B6" s="1" t="s">
        <v>156</v>
      </c>
      <c r="C6" s="26">
        <v>423572</v>
      </c>
      <c r="D6" s="26">
        <v>431584</v>
      </c>
      <c r="E6" s="96">
        <v>19262.36446991887</v>
      </c>
      <c r="F6" s="27">
        <v>412321.63553008111</v>
      </c>
      <c r="G6" s="24">
        <v>0.44419155299999996</v>
      </c>
      <c r="H6" s="27">
        <v>191705.96720995198</v>
      </c>
    </row>
    <row r="7" spans="1:8" x14ac:dyDescent="0.35">
      <c r="A7" s="58" t="s">
        <v>108</v>
      </c>
      <c r="B7" s="1" t="s">
        <v>157</v>
      </c>
      <c r="C7" s="26">
        <v>124332</v>
      </c>
      <c r="D7" s="26">
        <v>127025</v>
      </c>
      <c r="E7" s="96">
        <v>20631.988908452913</v>
      </c>
      <c r="F7" s="27">
        <v>106393.01109154709</v>
      </c>
      <c r="G7" s="24">
        <v>0.16674053300000002</v>
      </c>
      <c r="H7" s="27">
        <v>21180.216204325003</v>
      </c>
    </row>
    <row r="8" spans="1:8" x14ac:dyDescent="0.35">
      <c r="A8" s="58" t="s">
        <v>108</v>
      </c>
      <c r="B8" s="1" t="s">
        <v>158</v>
      </c>
      <c r="C8" s="26">
        <v>84000</v>
      </c>
      <c r="D8" s="26">
        <v>85920</v>
      </c>
      <c r="E8" s="96">
        <v>16556.755603654379</v>
      </c>
      <c r="F8" s="27">
        <v>69363.244396345617</v>
      </c>
      <c r="G8" s="24">
        <v>0.127086744</v>
      </c>
      <c r="H8" s="27">
        <v>10919.29304448</v>
      </c>
    </row>
    <row r="9" spans="1:8" x14ac:dyDescent="0.35">
      <c r="A9" s="58" t="s">
        <v>108</v>
      </c>
      <c r="B9" s="1" t="s">
        <v>159</v>
      </c>
      <c r="C9" s="26">
        <v>362602</v>
      </c>
      <c r="D9" s="26">
        <v>370030</v>
      </c>
      <c r="E9" s="96">
        <v>45691.816048707406</v>
      </c>
      <c r="F9" s="27">
        <v>324338.18395129259</v>
      </c>
      <c r="G9" s="24">
        <v>0.19023182899999999</v>
      </c>
      <c r="H9" s="27">
        <v>70391.483684869992</v>
      </c>
    </row>
    <row r="10" spans="1:8" x14ac:dyDescent="0.35">
      <c r="A10" s="58" t="s">
        <v>108</v>
      </c>
      <c r="B10" s="1" t="s">
        <v>160</v>
      </c>
      <c r="C10" s="26">
        <v>54289</v>
      </c>
      <c r="D10" s="26">
        <v>55268</v>
      </c>
      <c r="E10" s="96">
        <v>10207.393829949213</v>
      </c>
      <c r="F10" s="27">
        <v>45060.606170050785</v>
      </c>
      <c r="G10" s="24">
        <v>0.29729337299999997</v>
      </c>
      <c r="H10" s="27">
        <v>16430.810138964</v>
      </c>
    </row>
    <row r="11" spans="1:8" x14ac:dyDescent="0.35">
      <c r="A11" s="58" t="s">
        <v>108</v>
      </c>
      <c r="B11" s="1" t="s">
        <v>161</v>
      </c>
      <c r="C11" s="26">
        <v>482064</v>
      </c>
      <c r="D11" s="26">
        <v>479324.27155981702</v>
      </c>
      <c r="E11" s="96">
        <v>59886.429823597973</v>
      </c>
      <c r="F11" s="27">
        <v>42432.877276402025</v>
      </c>
      <c r="G11" s="24">
        <v>0.32829511</v>
      </c>
      <c r="H11" s="27">
        <v>157359.8144574</v>
      </c>
    </row>
    <row r="12" spans="1:8" x14ac:dyDescent="0.35">
      <c r="A12" s="58" t="s">
        <v>108</v>
      </c>
      <c r="B12" s="1" t="s">
        <v>162</v>
      </c>
      <c r="C12" s="26">
        <v>239740</v>
      </c>
      <c r="D12" s="26">
        <v>244704</v>
      </c>
      <c r="E12" s="96">
        <v>42003.012737377147</v>
      </c>
      <c r="F12" s="27">
        <v>202700.98726262286</v>
      </c>
      <c r="G12" s="24">
        <v>0.24975860699999999</v>
      </c>
      <c r="H12" s="27">
        <v>61116.930167327999</v>
      </c>
    </row>
    <row r="13" spans="1:8" x14ac:dyDescent="0.35">
      <c r="A13" s="58" t="s">
        <v>108</v>
      </c>
      <c r="B13" s="1" t="s">
        <v>163</v>
      </c>
      <c r="C13" s="26">
        <v>802172</v>
      </c>
      <c r="D13" s="26">
        <v>822435</v>
      </c>
      <c r="E13" s="96">
        <v>99991.500254215658</v>
      </c>
      <c r="F13" s="27">
        <v>677597.35924578435</v>
      </c>
      <c r="G13" s="24">
        <v>0.21804153800000003</v>
      </c>
      <c r="H13" s="27">
        <v>179324.99230503003</v>
      </c>
    </row>
    <row r="14" spans="1:8" x14ac:dyDescent="0.35">
      <c r="A14" s="58" t="s">
        <v>142</v>
      </c>
      <c r="B14" s="1" t="s">
        <v>116</v>
      </c>
      <c r="C14" s="26">
        <v>430546</v>
      </c>
      <c r="D14" s="26">
        <v>444412</v>
      </c>
      <c r="E14" s="96">
        <v>0</v>
      </c>
      <c r="F14" s="27">
        <v>0</v>
      </c>
      <c r="G14" s="24">
        <v>0.50415602699999995</v>
      </c>
      <c r="H14" s="27">
        <v>224052.98827112399</v>
      </c>
    </row>
    <row r="15" spans="1:8" x14ac:dyDescent="0.35">
      <c r="A15" s="58" t="s">
        <v>142</v>
      </c>
      <c r="B15" s="1" t="s">
        <v>111</v>
      </c>
      <c r="C15" s="26">
        <v>731212</v>
      </c>
      <c r="D15" s="26">
        <v>749100</v>
      </c>
      <c r="E15" s="96">
        <v>0</v>
      </c>
      <c r="F15" s="27">
        <v>0</v>
      </c>
      <c r="G15" s="24">
        <v>0.51958359600000004</v>
      </c>
      <c r="H15" s="27">
        <v>389220.07176359999</v>
      </c>
    </row>
    <row r="16" spans="1:8" x14ac:dyDescent="0.35">
      <c r="A16" s="58" t="s">
        <v>142</v>
      </c>
      <c r="B16" s="1" t="s">
        <v>112</v>
      </c>
      <c r="C16" s="26">
        <v>310820</v>
      </c>
      <c r="D16" s="26">
        <v>319208</v>
      </c>
      <c r="E16" s="96">
        <v>0</v>
      </c>
      <c r="F16" s="27">
        <v>0</v>
      </c>
      <c r="G16" s="24">
        <v>0.61479906699999998</v>
      </c>
      <c r="H16" s="27">
        <v>196248.78057893598</v>
      </c>
    </row>
    <row r="17" spans="1:8" x14ac:dyDescent="0.35">
      <c r="A17" s="58" t="s">
        <v>142</v>
      </c>
      <c r="B17" s="1" t="s">
        <v>115</v>
      </c>
      <c r="C17" s="26">
        <v>426056</v>
      </c>
      <c r="D17" s="26">
        <v>438557</v>
      </c>
      <c r="E17" s="96">
        <v>0</v>
      </c>
      <c r="F17" s="27">
        <v>0</v>
      </c>
      <c r="G17" s="24">
        <v>0.66851614200000009</v>
      </c>
      <c r="H17" s="27">
        <v>293182.43368709402</v>
      </c>
    </row>
    <row r="18" spans="1:8" ht="15" thickBot="1" x14ac:dyDescent="0.4">
      <c r="A18" s="35" t="s">
        <v>142</v>
      </c>
      <c r="B18" s="36" t="s">
        <v>117</v>
      </c>
      <c r="C18" s="32">
        <v>267635</v>
      </c>
      <c r="D18" s="32">
        <v>275267</v>
      </c>
      <c r="E18" s="103">
        <v>0</v>
      </c>
      <c r="F18" s="104">
        <v>0</v>
      </c>
      <c r="G18" s="105">
        <v>0.63690481600000004</v>
      </c>
      <c r="H18" s="104">
        <v>175318.87798587201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HDX_INTER-cluster PIN </vt:lpstr>
      <vt:lpstr>HDX_INTER-cluster PIN _hxl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NBA</dc:creator>
  <cp:keywords/>
  <dc:description/>
  <cp:lastModifiedBy>metasebya Sahlu</cp:lastModifiedBy>
  <cp:revision/>
  <dcterms:created xsi:type="dcterms:W3CDTF">2022-09-06T10:11:42Z</dcterms:created>
  <dcterms:modified xsi:type="dcterms:W3CDTF">2023-08-25T07:05:37Z</dcterms:modified>
  <cp:category/>
  <cp:contentStatus/>
</cp:coreProperties>
</file>