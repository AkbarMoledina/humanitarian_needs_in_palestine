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ty\Documents\WorkFromAddis\Palestine\"/>
    </mc:Choice>
  </mc:AlternateContent>
  <xr:revisionPtr revIDLastSave="0" documentId="8_{773596DA-4A4E-44DE-A9D8-BF3964557EC8}" xr6:coauthVersionLast="46" xr6:coauthVersionMax="46" xr10:uidLastSave="{00000000-0000-0000-0000-000000000000}"/>
  <bookViews>
    <workbookView xWindow="-108" yWindow="-108" windowWidth="23256" windowHeight="12576" tabRatio="777" firstSheet="1" activeTab="5" xr2:uid="{82703122-93B2-42E6-A24A-10326D7D1677}"/>
  </bookViews>
  <sheets>
    <sheet name="PIN_Geography_Severity" sheetId="3" r:id="rId1"/>
    <sheet name="PIN_Geography_Hum_condition" sheetId="4" r:id="rId2"/>
    <sheet name="PIN_hum_condition_Indicator" sheetId="1" r:id="rId3"/>
    <sheet name="PIN by strate_demoGroup" sheetId="2" r:id="rId4"/>
    <sheet name="PIN Geography_Gender" sheetId="5" r:id="rId5"/>
    <sheet name="Cluster_PIN_Severity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4" l="1"/>
  <c r="C24" i="4"/>
  <c r="B24" i="4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<sst xmlns="http://schemas.openxmlformats.org/spreadsheetml/2006/main" count="371" uniqueCount="129">
  <si>
    <t>Population</t>
  </si>
  <si>
    <t>West Bank</t>
  </si>
  <si>
    <t>Area C</t>
  </si>
  <si>
    <t>Gaza</t>
  </si>
  <si>
    <t>H2</t>
  </si>
  <si>
    <t>North Gaza</t>
  </si>
  <si>
    <t>Total</t>
  </si>
  <si>
    <t>Khan Yunis</t>
  </si>
  <si>
    <t>Refugees outside camps</t>
  </si>
  <si>
    <t>Rafah</t>
  </si>
  <si>
    <t>Refugees inside camps</t>
  </si>
  <si>
    <t>PIN - West Bank</t>
  </si>
  <si>
    <t>PIN - Gaza</t>
  </si>
  <si>
    <t>Female headed households</t>
  </si>
  <si>
    <t>IDPs</t>
  </si>
  <si>
    <t>Farmers</t>
  </si>
  <si>
    <t>Shelter damaged (partial and major damage)</t>
  </si>
  <si>
    <t xml:space="preserve">People with disabilities </t>
  </si>
  <si>
    <t>People living below the poverty level in 2017</t>
  </si>
  <si>
    <t>Region</t>
  </si>
  <si>
    <t>Area</t>
  </si>
  <si>
    <t>Minimal</t>
  </si>
  <si>
    <t>Stress</t>
  </si>
  <si>
    <t>Severe</t>
  </si>
  <si>
    <t>Extreme</t>
  </si>
  <si>
    <t>Catastrophic</t>
  </si>
  <si>
    <t>PIN Severe</t>
  </si>
  <si>
    <t>PIN Extreme</t>
  </si>
  <si>
    <t>Percent</t>
  </si>
  <si>
    <t>PIN</t>
  </si>
  <si>
    <t>Gaza Strip</t>
  </si>
  <si>
    <t>Deir al-Balah</t>
  </si>
  <si>
    <t>Area A &amp; B</t>
  </si>
  <si>
    <t>East Jerusalem</t>
  </si>
  <si>
    <t xml:space="preserve"> -   </t>
  </si>
  <si>
    <t>Education</t>
  </si>
  <si>
    <t>Health</t>
  </si>
  <si>
    <t>Protection</t>
  </si>
  <si>
    <t>WASH</t>
  </si>
  <si>
    <t>Shelter</t>
  </si>
  <si>
    <t>Humanitarian Condition</t>
  </si>
  <si>
    <t>Coping Mechanisms PIN</t>
  </si>
  <si>
    <t>Living Standards_PIN</t>
  </si>
  <si>
    <t>Physical and Mental Wellbeing_PIN</t>
  </si>
  <si>
    <t>Area/Strata</t>
  </si>
  <si>
    <t>Living Standards PIN</t>
  </si>
  <si>
    <t>Physical and Mental Wellbeing PIN</t>
  </si>
  <si>
    <t>% Coping Mechanisms</t>
  </si>
  <si>
    <t>%Living Standards</t>
  </si>
  <si>
    <t>%Physical and Mental Wellbeing</t>
  </si>
  <si>
    <t>Indicator</t>
  </si>
  <si>
    <t>Severity 1</t>
  </si>
  <si>
    <t>Severity 2</t>
  </si>
  <si>
    <t>Severity 3</t>
  </si>
  <si>
    <t>Severity 4</t>
  </si>
  <si>
    <t>Severity 5</t>
  </si>
  <si>
    <t>Coping Mechanisms</t>
  </si>
  <si>
    <t xml:space="preserve">% HH satisfied with aid received 
% HH with access/knowledge of complaint mechanisms </t>
  </si>
  <si>
    <t>% of households reporting relying on coping strategies to adapt to a lack of water</t>
  </si>
  <si>
    <t>Livelihood coping strategy (food) - 30 day recall</t>
  </si>
  <si>
    <t>Living Standards</t>
  </si>
  <si>
    <t># of people with inadequate access to sanitation services</t>
  </si>
  <si>
    <t>% HH unable to afford basic needs (% HH taking on debt due to healthcare, food, education, or basic household expenditures)</t>
  </si>
  <si>
    <t>% HH with at least one adult (18+) unemployed and seeking work</t>
  </si>
  <si>
    <t xml:space="preserve">% of HH school-aged children (who were previously attending school) NOT continuing teaching and learning activities remotely and in need of catch-up learning programs. </t>
  </si>
  <si>
    <t>% of HHs having access to a sufficient quantity of water for drinking, cooking, bathing, washing or other domestic use</t>
  </si>
  <si>
    <t>% of HHs whose average monthly household income per HH member was less than __ NIS</t>
  </si>
  <si>
    <t>% of school-aged children are out of school (dropped-out)</t>
  </si>
  <si>
    <t>Average number of household members per room</t>
  </si>
  <si>
    <t>Average time needed by school-enrolled children to access the nearest education facility (primary and secondary) / % of households reporting safety concerns in relation to their children’s education</t>
  </si>
  <si>
    <t>Food Consumption Score</t>
  </si>
  <si>
    <t>Food Expenditure share</t>
  </si>
  <si>
    <t>Percentage of population that can access primary healthcare within one hour’s walk from dwellings
% of HHs facing access barriers when trying to access health services</t>
  </si>
  <si>
    <t>Physical and Mental Wellbeing</t>
  </si>
  <si>
    <t>% of girls / boys engaged in child labour</t>
  </si>
  <si>
    <t>% of girls / women who avoid areas because they feel unsafe</t>
  </si>
  <si>
    <t>% of HH reporting being at risk of eviction</t>
  </si>
  <si>
    <t>% of HH where at least one member (SADD) is reporting signs of distress (self-diagnosed)</t>
  </si>
  <si>
    <t>% of HHs whose shelter has any kind of damage or defects</t>
  </si>
  <si>
    <t>% of the population identified as having disabilities (in line with the Washington Group Questions)</t>
  </si>
  <si>
    <t>Group of people</t>
  </si>
  <si>
    <t>Strata</t>
  </si>
  <si>
    <t>None / Minimal</t>
  </si>
  <si>
    <t>Pop.</t>
  </si>
  <si>
    <t>PIN by demographic Group</t>
  </si>
  <si>
    <t>Farmers/Agricultural</t>
  </si>
  <si>
    <t>Female headed household</t>
  </si>
  <si>
    <t>Internally Displaced People</t>
  </si>
  <si>
    <t>2021 Escalation/Shelter damaged</t>
  </si>
  <si>
    <t>Overall</t>
  </si>
  <si>
    <t>&lt; 18 Male</t>
  </si>
  <si>
    <t>&lt;1 8 Female</t>
  </si>
  <si>
    <t>18-65 Male</t>
  </si>
  <si>
    <t>18-65 Female</t>
  </si>
  <si>
    <t>&gt; 65 Male</t>
  </si>
  <si>
    <t>&gt; 65 Female</t>
  </si>
  <si>
    <t>Cluster PIN and Severity</t>
  </si>
  <si>
    <t>Clusters should reflect their information in the below tables based on sectoral models and other data sources/assessments</t>
  </si>
  <si>
    <t>PIN by Cluster and Year</t>
  </si>
  <si>
    <t>Cluster</t>
  </si>
  <si>
    <t>HNO 2019</t>
  </si>
  <si>
    <t>HNO 2020</t>
  </si>
  <si>
    <t>HNO 2021</t>
  </si>
  <si>
    <t>HNO 2022</t>
  </si>
  <si>
    <t xml:space="preserve">Health &amp; Nutrition </t>
  </si>
  <si>
    <t>FSS</t>
  </si>
  <si>
    <t xml:space="preserve">Shleter&amp;NFIs </t>
  </si>
  <si>
    <t xml:space="preserve">Education </t>
  </si>
  <si>
    <t>Total PiN (max of each area)</t>
  </si>
  <si>
    <t>2.5 million</t>
  </si>
  <si>
    <t>PIN by Cluster, Critical Problem, Severity, and Geography</t>
  </si>
  <si>
    <t>CP1</t>
  </si>
  <si>
    <t>CP2</t>
  </si>
  <si>
    <t>CP3</t>
  </si>
  <si>
    <t>Area A&amp;B</t>
  </si>
  <si>
    <t>EJ</t>
  </si>
  <si>
    <t>4.2M (80%) </t>
  </si>
  <si>
    <t>178K (3 %) </t>
  </si>
  <si>
    <t>560K (10%) </t>
  </si>
  <si>
    <t>383K (7 %) </t>
  </si>
  <si>
    <t>0 (0%) </t>
  </si>
  <si>
    <t>869,5K (92%) </t>
  </si>
  <si>
    <t xml:space="preserve">20K </t>
  </si>
  <si>
    <t xml:space="preserve">46K </t>
  </si>
  <si>
    <t>7K</t>
  </si>
  <si>
    <t>208 </t>
  </si>
  <si>
    <t>73,2K (8%)</t>
  </si>
  <si>
    <t>Total PIN</t>
  </si>
  <si>
    <t>PIN by Severity, Geography and 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</si>
</sst>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0.0%"/>
    <numFmt numFmtId="167" formatCode="_(* #,##0_);_(* \(#,##0\);_(* &quot;-&quot;??_);_(@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Arial"/>
      <family val="2"/>
    </font>
    <font>
      <sz val="28"/>
      <color theme="1"/>
      <name val="Arial"/>
      <family val="2"/>
    </font>
    <font>
      <sz val="14"/>
      <color theme="1"/>
      <name val="Arial"/>
      <family val="2"/>
    </font>
    <font>
      <b/>
      <sz val="20"/>
      <color theme="1"/>
      <name val="Arial"/>
      <family val="2"/>
    </font>
    <font>
      <b/>
      <sz val="14"/>
      <color rgb="FFFFFFFF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8"/>
      <color rgb="FFFFFFFF"/>
      <name val="Calibri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8"/>
      <color theme="1"/>
      <name val="Arial"/>
      <family val="2"/>
    </font>
    <font>
      <b/>
      <sz val="12"/>
      <color rgb="FF000000"/>
      <name val="Calibri"/>
      <family val="2"/>
    </font>
    <font>
      <b/>
      <sz val="12"/>
      <color rgb="FF000000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theme="4" tint="0.3999755851924192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0">
    <xf numFmtId="0" fontId="0" fillId="0" borderId="0" xfId="0"/>
    <xf numFmtId="0" fontId="2" fillId="2" borderId="0" xfId="0" applyFont="1" applyFill="1"/>
    <xf numFmtId="0" fontId="0" fillId="0" borderId="2" xfId="0" applyBorder="1" applyAlignment="1">
      <alignment horizontal="left" indent="1"/>
    </xf>
    <xf numFmtId="43" fontId="0" fillId="0" borderId="2" xfId="1" applyFont="1" applyBorder="1"/>
    <xf numFmtId="0" fontId="0" fillId="0" borderId="0" xfId="0" applyAlignment="1">
      <alignment horizontal="left" indent="1"/>
    </xf>
    <xf numFmtId="43" fontId="0" fillId="0" borderId="0" xfId="1" applyFont="1" applyBorder="1"/>
    <xf numFmtId="0" fontId="0" fillId="0" borderId="5" xfId="0" applyBorder="1" applyAlignment="1">
      <alignment horizontal="left" indent="1"/>
    </xf>
    <xf numFmtId="43" fontId="0" fillId="0" borderId="5" xfId="1" applyFont="1" applyBorder="1"/>
    <xf numFmtId="0" fontId="2" fillId="0" borderId="0" xfId="0" applyFont="1"/>
    <xf numFmtId="3" fontId="2" fillId="0" borderId="0" xfId="0" applyNumberFormat="1" applyFont="1"/>
    <xf numFmtId="9" fontId="2" fillId="0" borderId="0" xfId="0" applyNumberFormat="1" applyFont="1"/>
    <xf numFmtId="10" fontId="2" fillId="0" borderId="0" xfId="0" applyNumberFormat="1" applyFont="1"/>
    <xf numFmtId="0" fontId="2" fillId="3" borderId="0" xfId="0" applyFont="1" applyFill="1"/>
    <xf numFmtId="3" fontId="0" fillId="0" borderId="0" xfId="0" applyNumberFormat="1"/>
    <xf numFmtId="9" fontId="0" fillId="0" borderId="0" xfId="0" applyNumberFormat="1"/>
    <xf numFmtId="10" fontId="0" fillId="0" borderId="0" xfId="0" applyNumberFormat="1"/>
    <xf numFmtId="0" fontId="2" fillId="0" borderId="6" xfId="0" applyFont="1" applyBorder="1"/>
    <xf numFmtId="0" fontId="2" fillId="0" borderId="7" xfId="0" applyFont="1" applyBorder="1"/>
    <xf numFmtId="0" fontId="2" fillId="3" borderId="7" xfId="0" applyFont="1" applyFill="1" applyBorder="1"/>
    <xf numFmtId="0" fontId="2" fillId="0" borderId="8" xfId="0" applyFont="1" applyBorder="1"/>
    <xf numFmtId="0" fontId="0" fillId="0" borderId="9" xfId="0" applyBorder="1"/>
    <xf numFmtId="0" fontId="0" fillId="0" borderId="2" xfId="0" applyBorder="1"/>
    <xf numFmtId="3" fontId="0" fillId="0" borderId="2" xfId="0" applyNumberFormat="1" applyBorder="1"/>
    <xf numFmtId="10" fontId="0" fillId="0" borderId="2" xfId="0" applyNumberFormat="1" applyBorder="1"/>
    <xf numFmtId="9" fontId="0" fillId="0" borderId="2" xfId="0" applyNumberFormat="1" applyBorder="1"/>
    <xf numFmtId="4" fontId="0" fillId="3" borderId="2" xfId="0" applyNumberFormat="1" applyFill="1" applyBorder="1"/>
    <xf numFmtId="3" fontId="0" fillId="3" borderId="2" xfId="0" applyNumberFormat="1" applyFill="1" applyBorder="1"/>
    <xf numFmtId="3" fontId="0" fillId="0" borderId="10" xfId="0" applyNumberFormat="1" applyBorder="1"/>
    <xf numFmtId="0" fontId="0" fillId="0" borderId="11" xfId="0" applyBorder="1"/>
    <xf numFmtId="4" fontId="0" fillId="3" borderId="0" xfId="0" applyNumberFormat="1" applyFill="1"/>
    <xf numFmtId="3" fontId="0" fillId="3" borderId="0" xfId="0" applyNumberFormat="1" applyFill="1"/>
    <xf numFmtId="3" fontId="0" fillId="0" borderId="12" xfId="0" applyNumberFormat="1" applyBorder="1"/>
    <xf numFmtId="0" fontId="0" fillId="3" borderId="0" xfId="0" applyFill="1"/>
    <xf numFmtId="0" fontId="0" fillId="0" borderId="4" xfId="0" applyBorder="1"/>
    <xf numFmtId="0" fontId="0" fillId="0" borderId="5" xfId="0" applyBorder="1"/>
    <xf numFmtId="3" fontId="0" fillId="0" borderId="5" xfId="0" applyNumberFormat="1" applyBorder="1"/>
    <xf numFmtId="10" fontId="0" fillId="0" borderId="5" xfId="0" applyNumberFormat="1" applyBorder="1"/>
    <xf numFmtId="9" fontId="0" fillId="0" borderId="5" xfId="0" applyNumberFormat="1" applyBorder="1"/>
    <xf numFmtId="4" fontId="0" fillId="3" borderId="5" xfId="0" applyNumberFormat="1" applyFill="1" applyBorder="1"/>
    <xf numFmtId="0" fontId="0" fillId="3" borderId="5" xfId="0" applyFill="1" applyBorder="1"/>
    <xf numFmtId="3" fontId="0" fillId="0" borderId="13" xfId="0" applyNumberFormat="1" applyBorder="1"/>
    <xf numFmtId="0" fontId="3" fillId="0" borderId="6" xfId="0" applyFont="1" applyBorder="1"/>
    <xf numFmtId="0" fontId="3" fillId="0" borderId="7" xfId="0" applyFont="1" applyBorder="1"/>
    <xf numFmtId="3" fontId="3" fillId="0" borderId="7" xfId="0" applyNumberFormat="1" applyFont="1" applyBorder="1"/>
    <xf numFmtId="4" fontId="3" fillId="3" borderId="7" xfId="0" applyNumberFormat="1" applyFont="1" applyFill="1" applyBorder="1"/>
    <xf numFmtId="3" fontId="3" fillId="3" borderId="7" xfId="0" applyNumberFormat="1" applyFont="1" applyFill="1" applyBorder="1"/>
    <xf numFmtId="3" fontId="3" fillId="0" borderId="8" xfId="0" applyNumberFormat="1" applyFont="1" applyBorder="1"/>
    <xf numFmtId="0" fontId="0" fillId="0" borderId="6" xfId="0" applyBorder="1"/>
    <xf numFmtId="3" fontId="0" fillId="0" borderId="7" xfId="0" applyNumberFormat="1" applyBorder="1"/>
    <xf numFmtId="9" fontId="0" fillId="0" borderId="8" xfId="0" applyNumberFormat="1" applyBorder="1"/>
    <xf numFmtId="0" fontId="2" fillId="0" borderId="9" xfId="0" applyFont="1" applyBorder="1"/>
    <xf numFmtId="9" fontId="0" fillId="0" borderId="10" xfId="0" applyNumberFormat="1" applyBorder="1"/>
    <xf numFmtId="0" fontId="2" fillId="0" borderId="11" xfId="0" applyFont="1" applyBorder="1"/>
    <xf numFmtId="9" fontId="0" fillId="0" borderId="12" xfId="0" applyNumberFormat="1" applyBorder="1"/>
    <xf numFmtId="0" fontId="2" fillId="0" borderId="4" xfId="0" applyFont="1" applyBorder="1"/>
    <xf numFmtId="9" fontId="0" fillId="0" borderId="13" xfId="0" applyNumberFormat="1" applyBorder="1"/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3" fontId="2" fillId="0" borderId="7" xfId="0" applyNumberFormat="1" applyFont="1" applyBorder="1"/>
    <xf numFmtId="3" fontId="2" fillId="0" borderId="8" xfId="0" applyNumberFormat="1" applyFont="1" applyBorder="1"/>
    <xf numFmtId="0" fontId="2" fillId="0" borderId="16" xfId="0" applyFont="1" applyBorder="1"/>
    <xf numFmtId="10" fontId="0" fillId="0" borderId="14" xfId="0" applyNumberFormat="1" applyBorder="1"/>
    <xf numFmtId="3" fontId="0" fillId="0" borderId="14" xfId="0" applyNumberFormat="1" applyBorder="1"/>
    <xf numFmtId="10" fontId="0" fillId="0" borderId="17" xfId="0" applyNumberFormat="1" applyBorder="1"/>
    <xf numFmtId="0" fontId="2" fillId="0" borderId="18" xfId="0" applyFont="1" applyBorder="1"/>
    <xf numFmtId="3" fontId="0" fillId="0" borderId="19" xfId="0" applyNumberFormat="1" applyBorder="1"/>
    <xf numFmtId="10" fontId="0" fillId="0" borderId="19" xfId="0" applyNumberFormat="1" applyBorder="1"/>
    <xf numFmtId="10" fontId="0" fillId="0" borderId="20" xfId="0" applyNumberFormat="1" applyBorder="1"/>
    <xf numFmtId="0" fontId="2" fillId="0" borderId="15" xfId="0" applyFont="1" applyBorder="1" applyAlignment="1">
      <alignment wrapText="1"/>
    </xf>
    <xf numFmtId="0" fontId="2" fillId="0" borderId="21" xfId="0" applyFont="1" applyBorder="1"/>
    <xf numFmtId="3" fontId="0" fillId="0" borderId="22" xfId="0" applyNumberFormat="1" applyBorder="1"/>
    <xf numFmtId="10" fontId="0" fillId="0" borderId="22" xfId="0" applyNumberFormat="1" applyBorder="1"/>
    <xf numFmtId="10" fontId="0" fillId="0" borderId="23" xfId="0" applyNumberFormat="1" applyBorder="1"/>
    <xf numFmtId="0" fontId="2" fillId="0" borderId="2" xfId="0" applyFont="1" applyBorder="1"/>
    <xf numFmtId="0" fontId="2" fillId="0" borderId="5" xfId="0" applyFont="1" applyBorder="1"/>
    <xf numFmtId="0" fontId="4" fillId="5" borderId="0" xfId="0" applyFont="1" applyFill="1"/>
    <xf numFmtId="165" fontId="5" fillId="0" borderId="0" xfId="0" applyNumberFormat="1" applyFont="1"/>
    <xf numFmtId="9" fontId="6" fillId="0" borderId="0" xfId="2" applyFont="1"/>
    <xf numFmtId="165" fontId="0" fillId="0" borderId="0" xfId="1" applyNumberFormat="1" applyFont="1"/>
    <xf numFmtId="166" fontId="0" fillId="0" borderId="0" xfId="2" applyNumberFormat="1" applyFont="1"/>
    <xf numFmtId="0" fontId="7" fillId="0" borderId="0" xfId="0" applyFont="1"/>
    <xf numFmtId="0" fontId="9" fillId="0" borderId="0" xfId="4" applyFont="1"/>
    <xf numFmtId="0" fontId="8" fillId="0" borderId="0" xfId="4"/>
    <xf numFmtId="0" fontId="10" fillId="3" borderId="0" xfId="4" applyFont="1" applyFill="1"/>
    <xf numFmtId="0" fontId="8" fillId="3" borderId="0" xfId="4" applyFill="1"/>
    <xf numFmtId="0" fontId="11" fillId="6" borderId="0" xfId="4" applyFont="1" applyFill="1"/>
    <xf numFmtId="0" fontId="12" fillId="7" borderId="0" xfId="4" applyFont="1" applyFill="1" applyAlignment="1">
      <alignment vertical="center" wrapText="1"/>
    </xf>
    <xf numFmtId="0" fontId="13" fillId="0" borderId="14" xfId="4" applyFont="1" applyBorder="1" applyAlignment="1">
      <alignment vertical="center" wrapText="1"/>
    </xf>
    <xf numFmtId="3" fontId="14" fillId="0" borderId="14" xfId="4" applyNumberFormat="1" applyFont="1" applyBorder="1" applyAlignment="1">
      <alignment horizontal="right" vertical="center" wrapText="1"/>
    </xf>
    <xf numFmtId="167" fontId="15" fillId="0" borderId="14" xfId="5" applyNumberFormat="1" applyFont="1" applyFill="1" applyBorder="1" applyAlignment="1">
      <alignment horizontal="right" vertical="center" wrapText="1"/>
    </xf>
    <xf numFmtId="3" fontId="15" fillId="0" borderId="14" xfId="4" applyNumberFormat="1" applyFont="1" applyBorder="1" applyAlignment="1">
      <alignment horizontal="right" vertical="center" wrapText="1"/>
    </xf>
    <xf numFmtId="3" fontId="2" fillId="0" borderId="14" xfId="0" applyNumberFormat="1" applyFont="1" applyBorder="1"/>
    <xf numFmtId="0" fontId="15" fillId="4" borderId="14" xfId="4" applyFont="1" applyFill="1" applyBorder="1" applyAlignment="1">
      <alignment vertical="center" wrapText="1"/>
    </xf>
    <xf numFmtId="3" fontId="15" fillId="4" borderId="14" xfId="4" applyNumberFormat="1" applyFont="1" applyFill="1" applyBorder="1" applyAlignment="1">
      <alignment horizontal="right" vertical="center" wrapText="1"/>
    </xf>
    <xf numFmtId="167" fontId="8" fillId="0" borderId="0" xfId="4" applyNumberFormat="1"/>
    <xf numFmtId="0" fontId="16" fillId="7" borderId="0" xfId="4" applyFont="1" applyFill="1" applyAlignment="1">
      <alignment vertical="center" wrapText="1"/>
    </xf>
    <xf numFmtId="0" fontId="17" fillId="8" borderId="24" xfId="6" applyFont="1" applyFill="1" applyBorder="1" applyAlignment="1">
      <alignment vertical="center"/>
    </xf>
    <xf numFmtId="0" fontId="17" fillId="9" borderId="24" xfId="6" applyFont="1" applyFill="1" applyBorder="1" applyAlignment="1">
      <alignment vertical="center"/>
    </xf>
    <xf numFmtId="0" fontId="17" fillId="10" borderId="24" xfId="6" applyFont="1" applyFill="1" applyBorder="1" applyAlignment="1">
      <alignment vertical="center"/>
    </xf>
    <xf numFmtId="0" fontId="18" fillId="11" borderId="24" xfId="6" applyFont="1" applyFill="1" applyBorder="1" applyAlignment="1">
      <alignment vertical="center"/>
    </xf>
    <xf numFmtId="0" fontId="18" fillId="12" borderId="24" xfId="6" applyFont="1" applyFill="1" applyBorder="1" applyAlignment="1">
      <alignment vertical="center"/>
    </xf>
    <xf numFmtId="3" fontId="14" fillId="0" borderId="25" xfId="4" applyNumberFormat="1" applyFont="1" applyBorder="1" applyAlignment="1">
      <alignment horizontal="right" vertical="center" wrapText="1"/>
    </xf>
    <xf numFmtId="0" fontId="8" fillId="0" borderId="14" xfId="4" applyBorder="1"/>
    <xf numFmtId="3" fontId="14" fillId="13" borderId="14" xfId="4" applyNumberFormat="1" applyFont="1" applyFill="1" applyBorder="1" applyAlignment="1">
      <alignment horizontal="right" vertical="center" wrapText="1"/>
    </xf>
    <xf numFmtId="0" fontId="8" fillId="13" borderId="14" xfId="4" applyFill="1" applyBorder="1"/>
    <xf numFmtId="3" fontId="14" fillId="0" borderId="26" xfId="4" applyNumberFormat="1" applyFont="1" applyBorder="1" applyAlignment="1">
      <alignment horizontal="right" vertical="center" wrapText="1"/>
    </xf>
    <xf numFmtId="167" fontId="8" fillId="0" borderId="14" xfId="4" applyNumberFormat="1" applyBorder="1" applyAlignment="1">
      <alignment horizontal="center"/>
    </xf>
    <xf numFmtId="9" fontId="8" fillId="0" borderId="14" xfId="0" applyNumberFormat="1" applyFont="1" applyBorder="1" applyAlignment="1">
      <alignment horizontal="center"/>
    </xf>
    <xf numFmtId="9" fontId="8" fillId="0" borderId="14" xfId="2" applyFont="1" applyFill="1" applyBorder="1" applyAlignment="1">
      <alignment horizontal="center"/>
    </xf>
    <xf numFmtId="167" fontId="8" fillId="0" borderId="14" xfId="4" applyNumberFormat="1" applyBorder="1"/>
    <xf numFmtId="3" fontId="14" fillId="4" borderId="14" xfId="4" applyNumberFormat="1" applyFont="1" applyFill="1" applyBorder="1" applyAlignment="1">
      <alignment horizontal="left" vertical="center" wrapText="1"/>
    </xf>
    <xf numFmtId="3" fontId="15" fillId="4" borderId="25" xfId="4" applyNumberFormat="1" applyFont="1" applyFill="1" applyBorder="1" applyAlignment="1">
      <alignment horizontal="right" vertical="center" wrapText="1"/>
    </xf>
    <xf numFmtId="3" fontId="15" fillId="4" borderId="26" xfId="4" applyNumberFormat="1" applyFont="1" applyFill="1" applyBorder="1" applyAlignment="1">
      <alignment horizontal="right" vertical="center" wrapText="1"/>
    </xf>
    <xf numFmtId="9" fontId="15" fillId="14" borderId="14" xfId="7" applyFont="1" applyFill="1" applyBorder="1" applyAlignment="1">
      <alignment horizontal="left" vertical="center" wrapText="1"/>
    </xf>
    <xf numFmtId="9" fontId="15" fillId="14" borderId="14" xfId="7" applyFont="1" applyFill="1" applyBorder="1" applyAlignment="1">
      <alignment horizontal="right" vertical="center" wrapText="1"/>
    </xf>
    <xf numFmtId="3" fontId="8" fillId="0" borderId="0" xfId="4" applyNumberFormat="1"/>
    <xf numFmtId="0" fontId="19" fillId="6" borderId="0" xfId="4" applyFont="1" applyFill="1"/>
    <xf numFmtId="3" fontId="13" fillId="4" borderId="14" xfId="4" applyNumberFormat="1" applyFont="1" applyFill="1" applyBorder="1" applyAlignment="1">
      <alignment horizontal="left" vertical="center" wrapText="1"/>
    </xf>
    <xf numFmtId="0" fontId="17" fillId="8" borderId="14" xfId="6" applyFont="1" applyFill="1" applyBorder="1" applyAlignment="1">
      <alignment vertical="center"/>
    </xf>
    <xf numFmtId="0" fontId="17" fillId="9" borderId="14" xfId="6" applyFont="1" applyFill="1" applyBorder="1" applyAlignment="1">
      <alignment vertical="center"/>
    </xf>
    <xf numFmtId="0" fontId="17" fillId="10" borderId="14" xfId="6" applyFont="1" applyFill="1" applyBorder="1" applyAlignment="1">
      <alignment vertical="center"/>
    </xf>
    <xf numFmtId="0" fontId="18" fillId="11" borderId="14" xfId="6" applyFont="1" applyFill="1" applyBorder="1" applyAlignment="1">
      <alignment vertical="center"/>
    </xf>
    <xf numFmtId="0" fontId="18" fillId="12" borderId="14" xfId="6" applyFont="1" applyFill="1" applyBorder="1" applyAlignment="1">
      <alignment vertical="center"/>
    </xf>
    <xf numFmtId="0" fontId="21" fillId="0" borderId="14" xfId="4" applyFont="1" applyBorder="1" applyAlignment="1">
      <alignment vertical="center"/>
    </xf>
    <xf numFmtId="167" fontId="8" fillId="0" borderId="14" xfId="5" applyNumberFormat="1" applyFont="1" applyBorder="1" applyAlignment="1"/>
    <xf numFmtId="165" fontId="0" fillId="0" borderId="14" xfId="8" applyNumberFormat="1" applyFont="1" applyBorder="1"/>
    <xf numFmtId="167" fontId="8" fillId="0" borderId="14" xfId="8" applyNumberFormat="1" applyFont="1" applyBorder="1" applyAlignment="1"/>
    <xf numFmtId="165" fontId="8" fillId="0" borderId="14" xfId="4" applyNumberFormat="1" applyBorder="1"/>
    <xf numFmtId="167" fontId="22" fillId="0" borderId="14" xfId="5" applyNumberFormat="1" applyFont="1" applyBorder="1" applyAlignment="1"/>
    <xf numFmtId="167" fontId="22" fillId="0" borderId="14" xfId="4" applyNumberFormat="1" applyFont="1" applyBorder="1"/>
    <xf numFmtId="167" fontId="8" fillId="0" borderId="28" xfId="4" applyNumberFormat="1" applyBorder="1" applyAlignment="1">
      <alignment vertical="center"/>
    </xf>
    <xf numFmtId="167" fontId="8" fillId="0" borderId="28" xfId="4" applyNumberFormat="1" applyBorder="1"/>
    <xf numFmtId="0" fontId="8" fillId="0" borderId="28" xfId="4" applyBorder="1"/>
    <xf numFmtId="167" fontId="23" fillId="0" borderId="0" xfId="4" applyNumberFormat="1" applyFont="1"/>
    <xf numFmtId="0" fontId="11" fillId="0" borderId="0" xfId="4" applyFont="1"/>
    <xf numFmtId="0" fontId="25" fillId="3" borderId="0" xfId="4" applyFont="1" applyFill="1" applyAlignment="1">
      <alignment vertical="center" wrapText="1"/>
    </xf>
    <xf numFmtId="0" fontId="24" fillId="0" borderId="0" xfId="4" applyFont="1"/>
    <xf numFmtId="165" fontId="26" fillId="3" borderId="0" xfId="1" applyNumberFormat="1" applyFont="1" applyFill="1" applyBorder="1" applyAlignment="1">
      <alignment vertical="center" wrapText="1"/>
    </xf>
    <xf numFmtId="165" fontId="8" fillId="13" borderId="14" xfId="1" applyNumberFormat="1" applyFont="1" applyFill="1" applyBorder="1" applyAlignment="1"/>
    <xf numFmtId="165" fontId="8" fillId="0" borderId="14" xfId="1" applyNumberFormat="1" applyFont="1" applyFill="1" applyBorder="1" applyAlignment="1"/>
    <xf numFmtId="165" fontId="8" fillId="0" borderId="14" xfId="1" applyNumberFormat="1" applyFont="1" applyBorder="1" applyAlignment="1"/>
    <xf numFmtId="165" fontId="0" fillId="0" borderId="14" xfId="1" applyNumberFormat="1" applyFont="1" applyFill="1" applyBorder="1" applyAlignment="1"/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" fontId="20" fillId="4" borderId="25" xfId="4" applyNumberFormat="1" applyFont="1" applyFill="1" applyBorder="1" applyAlignment="1">
      <alignment horizontal="center" vertical="center" wrapText="1"/>
    </xf>
    <xf numFmtId="3" fontId="20" fillId="4" borderId="27" xfId="4" applyNumberFormat="1" applyFont="1" applyFill="1" applyBorder="1" applyAlignment="1">
      <alignment horizontal="center" vertical="center" wrapText="1"/>
    </xf>
    <xf numFmtId="3" fontId="20" fillId="4" borderId="26" xfId="4" applyNumberFormat="1" applyFont="1" applyFill="1" applyBorder="1" applyAlignment="1">
      <alignment horizontal="center" vertical="center" wrapText="1"/>
    </xf>
    <xf numFmtId="3" fontId="20" fillId="4" borderId="14" xfId="4" applyNumberFormat="1" applyFont="1" applyFill="1" applyBorder="1" applyAlignment="1">
      <alignment horizontal="center" vertical="center" wrapText="1"/>
    </xf>
  </cellXfs>
  <cellStyles count="9">
    <cellStyle name="Comma" xfId="1" builtinId="3"/>
    <cellStyle name="Comma 2" xfId="5" xr:uid="{1A64C6F3-18DD-438A-8A15-1431E14B1281}"/>
    <cellStyle name="Comma 5" xfId="8" xr:uid="{6C106B90-E6CF-4A54-A274-5AF28B29A0F5}"/>
    <cellStyle name="Normal" xfId="0" builtinId="0"/>
    <cellStyle name="Normal 2" xfId="3" xr:uid="{DDD3B130-0A7A-43D7-9DB8-C1709C38A14A}"/>
    <cellStyle name="Normal 2 2" xfId="6" xr:uid="{5EBE5556-B5FE-4F61-9A55-110BE70FB492}"/>
    <cellStyle name="Normal 3" xfId="4" xr:uid="{03018580-B161-429E-9FC8-EA677DAEFF62}"/>
    <cellStyle name="Percent" xfId="2" builtinId="5"/>
    <cellStyle name="Percent 2" xfId="7" xr:uid="{EF71A60A-93D5-4C38-9DD0-7E9A88A8FA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2B726-85FB-4168-88A9-2438BFE8BA01}">
  <dimension ref="A1:L18"/>
  <sheetViews>
    <sheetView workbookViewId="0">
      <selection activeCell="A18" sqref="A18"/>
    </sheetView>
  </sheetViews>
  <sheetFormatPr defaultRowHeight="14.4" x14ac:dyDescent="0.3"/>
  <cols>
    <col min="1" max="1" width="17.6640625" bestFit="1" customWidth="1"/>
    <col min="2" max="2" width="16.6640625" bestFit="1" customWidth="1"/>
    <col min="3" max="3" width="15.5546875" bestFit="1" customWidth="1"/>
    <col min="4" max="5" width="16.6640625" bestFit="1" customWidth="1"/>
    <col min="6" max="6" width="18.33203125" bestFit="1" customWidth="1"/>
    <col min="7" max="7" width="11.44140625" bestFit="1" customWidth="1"/>
    <col min="8" max="8" width="15.5546875" bestFit="1" customWidth="1"/>
    <col min="9" max="9" width="15.5546875" customWidth="1"/>
    <col min="10" max="10" width="23.77734375" bestFit="1" customWidth="1"/>
    <col min="11" max="11" width="15.5546875" bestFit="1" customWidth="1"/>
    <col min="12" max="12" width="16.6640625" bestFit="1" customWidth="1"/>
    <col min="13" max="15" width="12" bestFit="1" customWidth="1"/>
    <col min="16" max="16" width="14.6640625" customWidth="1"/>
    <col min="17" max="18" width="14.109375" bestFit="1" customWidth="1"/>
    <col min="20" max="21" width="13.88671875" bestFit="1" customWidth="1"/>
  </cols>
  <sheetData>
    <row r="1" spans="1:12" ht="15" thickBot="1" x14ac:dyDescent="0.35">
      <c r="A1" s="16" t="s">
        <v>19</v>
      </c>
      <c r="B1" s="17" t="s">
        <v>20</v>
      </c>
      <c r="C1" s="17" t="s">
        <v>0</v>
      </c>
      <c r="D1" s="17" t="s">
        <v>21</v>
      </c>
      <c r="E1" s="17" t="s">
        <v>22</v>
      </c>
      <c r="F1" s="17" t="s">
        <v>23</v>
      </c>
      <c r="G1" s="17" t="s">
        <v>24</v>
      </c>
      <c r="H1" s="17" t="s">
        <v>25</v>
      </c>
      <c r="I1" s="18" t="s">
        <v>26</v>
      </c>
      <c r="J1" s="18" t="s">
        <v>27</v>
      </c>
      <c r="K1" s="17" t="s">
        <v>28</v>
      </c>
      <c r="L1" s="19" t="s">
        <v>29</v>
      </c>
    </row>
    <row r="2" spans="1:12" x14ac:dyDescent="0.3">
      <c r="A2" s="20" t="s">
        <v>30</v>
      </c>
      <c r="B2" s="21" t="s">
        <v>7</v>
      </c>
      <c r="C2" s="22">
        <v>422286</v>
      </c>
      <c r="D2" s="23">
        <v>1.4E-2</v>
      </c>
      <c r="E2" s="24">
        <v>0.3</v>
      </c>
      <c r="F2" s="23">
        <v>0.54400000000000004</v>
      </c>
      <c r="G2" s="23">
        <v>0.14399999999999999</v>
      </c>
      <c r="H2" s="23">
        <v>0</v>
      </c>
      <c r="I2" s="25">
        <v>229723.6</v>
      </c>
      <c r="J2" s="26">
        <v>60809</v>
      </c>
      <c r="K2" s="24">
        <v>0.69</v>
      </c>
      <c r="L2" s="27">
        <v>290971</v>
      </c>
    </row>
    <row r="3" spans="1:12" x14ac:dyDescent="0.3">
      <c r="A3" s="28" t="s">
        <v>30</v>
      </c>
      <c r="B3" t="s">
        <v>9</v>
      </c>
      <c r="C3" s="13">
        <v>265498</v>
      </c>
      <c r="D3" s="15">
        <v>1.2E-2</v>
      </c>
      <c r="E3" s="14">
        <v>0.32</v>
      </c>
      <c r="F3" s="15">
        <v>0.53700000000000003</v>
      </c>
      <c r="G3" s="15">
        <v>0.13500000000000001</v>
      </c>
      <c r="H3" s="15">
        <v>0</v>
      </c>
      <c r="I3" s="29">
        <v>142572.4</v>
      </c>
      <c r="J3" s="30">
        <v>35842</v>
      </c>
      <c r="K3" s="14">
        <v>0.67</v>
      </c>
      <c r="L3" s="31">
        <v>178467</v>
      </c>
    </row>
    <row r="4" spans="1:12" x14ac:dyDescent="0.3">
      <c r="A4" s="28" t="s">
        <v>30</v>
      </c>
      <c r="B4" t="s">
        <v>31</v>
      </c>
      <c r="C4" s="13">
        <v>308765</v>
      </c>
      <c r="D4" s="15">
        <v>0.01</v>
      </c>
      <c r="E4" s="14">
        <v>0.35</v>
      </c>
      <c r="F4" s="15">
        <v>0.56100000000000005</v>
      </c>
      <c r="G4" s="15">
        <v>7.8E-2</v>
      </c>
      <c r="H4" s="15">
        <v>0</v>
      </c>
      <c r="I4" s="29">
        <v>173217.2</v>
      </c>
      <c r="J4" s="30">
        <v>24084</v>
      </c>
      <c r="K4" s="14">
        <v>0.64</v>
      </c>
      <c r="L4" s="31">
        <v>197355</v>
      </c>
    </row>
    <row r="5" spans="1:12" x14ac:dyDescent="0.3">
      <c r="A5" s="28" t="s">
        <v>30</v>
      </c>
      <c r="B5" t="s">
        <v>5</v>
      </c>
      <c r="C5" s="13">
        <v>425530</v>
      </c>
      <c r="D5" s="15">
        <v>7.0000000000000001E-3</v>
      </c>
      <c r="E5" s="14">
        <v>0.36</v>
      </c>
      <c r="F5" s="15">
        <v>0.55800000000000005</v>
      </c>
      <c r="G5" s="15">
        <v>7.5999999999999998E-2</v>
      </c>
      <c r="H5" s="15">
        <v>0</v>
      </c>
      <c r="I5" s="29">
        <v>237445.7</v>
      </c>
      <c r="J5" s="30">
        <v>32340</v>
      </c>
      <c r="K5" s="14">
        <v>0.63</v>
      </c>
      <c r="L5" s="31">
        <v>269515</v>
      </c>
    </row>
    <row r="6" spans="1:12" x14ac:dyDescent="0.3">
      <c r="A6" s="28" t="s">
        <v>30</v>
      </c>
      <c r="B6" t="s">
        <v>3</v>
      </c>
      <c r="C6" s="13">
        <v>728248</v>
      </c>
      <c r="D6" s="15">
        <v>6.2E-2</v>
      </c>
      <c r="E6" s="14">
        <v>0.4</v>
      </c>
      <c r="F6" s="15">
        <v>0.45500000000000002</v>
      </c>
      <c r="G6" s="15">
        <v>8.3000000000000004E-2</v>
      </c>
      <c r="H6" s="15">
        <v>0</v>
      </c>
      <c r="I6" s="29">
        <v>331352.8</v>
      </c>
      <c r="J6" s="30">
        <v>60445</v>
      </c>
      <c r="K6" s="14">
        <v>0.54</v>
      </c>
      <c r="L6" s="31">
        <v>391813</v>
      </c>
    </row>
    <row r="7" spans="1:12" x14ac:dyDescent="0.3">
      <c r="A7" s="28" t="s">
        <v>1</v>
      </c>
      <c r="B7" t="s">
        <v>2</v>
      </c>
      <c r="C7" s="13">
        <v>369489</v>
      </c>
      <c r="D7" s="15">
        <v>8.2000000000000003E-2</v>
      </c>
      <c r="E7" s="14">
        <v>0.62</v>
      </c>
      <c r="F7" s="15">
        <v>0.27100000000000002</v>
      </c>
      <c r="G7" s="15">
        <v>3.1E-2</v>
      </c>
      <c r="H7" s="15">
        <v>0</v>
      </c>
      <c r="I7" s="29">
        <v>100131.5</v>
      </c>
      <c r="J7" s="30">
        <v>11454</v>
      </c>
      <c r="K7" s="14">
        <v>0.3</v>
      </c>
      <c r="L7" s="31">
        <v>111482</v>
      </c>
    </row>
    <row r="8" spans="1:12" x14ac:dyDescent="0.3">
      <c r="A8" s="28" t="s">
        <v>1</v>
      </c>
      <c r="B8" t="s">
        <v>4</v>
      </c>
      <c r="C8" s="13">
        <v>43731</v>
      </c>
      <c r="D8" s="15">
        <v>0.105</v>
      </c>
      <c r="E8" s="14">
        <v>0.62</v>
      </c>
      <c r="F8" s="15">
        <v>0.27100000000000002</v>
      </c>
      <c r="G8" s="15">
        <v>5.0000000000000001E-3</v>
      </c>
      <c r="H8" s="15">
        <v>0</v>
      </c>
      <c r="I8" s="29">
        <v>11851.1</v>
      </c>
      <c r="J8" s="32">
        <v>219</v>
      </c>
      <c r="K8" s="14">
        <v>0.28000000000000003</v>
      </c>
      <c r="L8" s="31">
        <v>12078</v>
      </c>
    </row>
    <row r="9" spans="1:12" x14ac:dyDescent="0.3">
      <c r="A9" s="28" t="s">
        <v>1</v>
      </c>
      <c r="B9" t="s">
        <v>32</v>
      </c>
      <c r="C9" s="13">
        <v>2390043</v>
      </c>
      <c r="D9" s="15">
        <v>8.6999999999999994E-2</v>
      </c>
      <c r="E9" s="14">
        <v>0.66</v>
      </c>
      <c r="F9" s="15">
        <v>0.24299999999999999</v>
      </c>
      <c r="G9" s="15">
        <v>1.4999999999999999E-2</v>
      </c>
      <c r="H9" s="15">
        <v>0</v>
      </c>
      <c r="I9" s="29">
        <v>580780.4</v>
      </c>
      <c r="J9" s="30">
        <v>35851</v>
      </c>
      <c r="K9" s="14">
        <v>0.26</v>
      </c>
      <c r="L9" s="31">
        <v>614825</v>
      </c>
    </row>
    <row r="10" spans="1:12" ht="15" thickBot="1" x14ac:dyDescent="0.35">
      <c r="A10" s="33" t="s">
        <v>1</v>
      </c>
      <c r="B10" s="34" t="s">
        <v>33</v>
      </c>
      <c r="C10" s="35">
        <v>381737</v>
      </c>
      <c r="D10" s="36">
        <v>0.68</v>
      </c>
      <c r="E10" s="37">
        <v>0.3</v>
      </c>
      <c r="F10" s="36">
        <v>2.4E-2</v>
      </c>
      <c r="G10" s="36">
        <v>0</v>
      </c>
      <c r="H10" s="36">
        <v>0</v>
      </c>
      <c r="I10" s="38">
        <v>9161.7000000000007</v>
      </c>
      <c r="J10" s="39" t="s">
        <v>34</v>
      </c>
      <c r="K10" s="37">
        <v>0.02</v>
      </c>
      <c r="L10" s="40">
        <v>9035</v>
      </c>
    </row>
    <row r="11" spans="1:12" ht="18.600000000000001" thickBot="1" x14ac:dyDescent="0.4">
      <c r="A11" s="41"/>
      <c r="B11" s="42"/>
      <c r="C11" s="43">
        <v>5335327</v>
      </c>
      <c r="D11" s="42"/>
      <c r="E11" s="42"/>
      <c r="F11" s="42"/>
      <c r="G11" s="42"/>
      <c r="H11" s="42"/>
      <c r="I11" s="44">
        <v>1816236.5</v>
      </c>
      <c r="J11" s="45">
        <v>261043</v>
      </c>
      <c r="K11" s="42"/>
      <c r="L11" s="46">
        <v>2075542</v>
      </c>
    </row>
    <row r="16" spans="1:12" ht="23.4" x14ac:dyDescent="0.45">
      <c r="B16" s="76" t="s">
        <v>11</v>
      </c>
      <c r="C16" s="76" t="s">
        <v>12</v>
      </c>
    </row>
    <row r="17" spans="2:3" ht="18" x14ac:dyDescent="0.35">
      <c r="B17" s="77">
        <v>747419.88580571697</v>
      </c>
      <c r="C17" s="77">
        <v>1328121.7658487668</v>
      </c>
    </row>
    <row r="18" spans="2:3" ht="21" x14ac:dyDescent="0.4">
      <c r="B18" s="78">
        <v>0.36010835302193217</v>
      </c>
      <c r="C18" s="78">
        <v>0.63989164697806789</v>
      </c>
    </row>
  </sheetData>
  <conditionalFormatting sqref="F2:H10">
    <cfRule type="colorScale" priority="4">
      <colorScale>
        <cfvo type="min"/>
        <cfvo type="max"/>
        <color rgb="FFFCFCFF"/>
        <color rgb="FFF8696B"/>
      </colorScale>
    </cfRule>
  </conditionalFormatting>
  <conditionalFormatting sqref="K2:K11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{CF506540-429B-4047-BFBD-9D421E05F3C4}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F506540-429B-4047-BFBD-9D421E05F3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K2:K11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DCAC1-ACAB-4A16-9332-519BA494E7C1}">
  <dimension ref="A1:G38"/>
  <sheetViews>
    <sheetView workbookViewId="0">
      <selection activeCell="A28" sqref="A28:G38"/>
    </sheetView>
  </sheetViews>
  <sheetFormatPr defaultRowHeight="14.4" x14ac:dyDescent="0.3"/>
  <cols>
    <col min="1" max="1" width="32.109375" bestFit="1" customWidth="1"/>
    <col min="2" max="2" width="13.6640625" customWidth="1"/>
    <col min="3" max="3" width="15.88671875" customWidth="1"/>
    <col min="4" max="4" width="17.6640625" customWidth="1"/>
    <col min="5" max="5" width="13.88671875" customWidth="1"/>
    <col min="6" max="6" width="15.6640625" customWidth="1"/>
    <col min="7" max="7" width="12.88671875" customWidth="1"/>
  </cols>
  <sheetData>
    <row r="1" spans="1:4" ht="15" thickBot="1" x14ac:dyDescent="0.35"/>
    <row r="2" spans="1:4" ht="15" thickBot="1" x14ac:dyDescent="0.35">
      <c r="A2" s="16" t="s">
        <v>40</v>
      </c>
      <c r="B2" s="17" t="s">
        <v>29</v>
      </c>
      <c r="C2" s="19" t="s">
        <v>28</v>
      </c>
    </row>
    <row r="3" spans="1:4" x14ac:dyDescent="0.3">
      <c r="A3" s="8" t="s">
        <v>41</v>
      </c>
      <c r="B3" s="13">
        <v>779585</v>
      </c>
      <c r="C3" s="14">
        <v>0.17</v>
      </c>
    </row>
    <row r="4" spans="1:4" x14ac:dyDescent="0.3">
      <c r="A4" s="8" t="s">
        <v>42</v>
      </c>
      <c r="B4" s="13">
        <v>3026428</v>
      </c>
      <c r="C4" s="14">
        <v>0.64</v>
      </c>
    </row>
    <row r="5" spans="1:4" ht="15" thickBot="1" x14ac:dyDescent="0.35">
      <c r="A5" s="8" t="s">
        <v>43</v>
      </c>
      <c r="B5" s="13">
        <v>915886</v>
      </c>
      <c r="C5" s="14">
        <v>0.19</v>
      </c>
    </row>
    <row r="6" spans="1:4" ht="15" thickBot="1" x14ac:dyDescent="0.35">
      <c r="A6" s="47"/>
      <c r="B6" s="48">
        <v>4721899</v>
      </c>
      <c r="C6" s="49">
        <v>1</v>
      </c>
    </row>
    <row r="7" spans="1:4" ht="15" thickBot="1" x14ac:dyDescent="0.35"/>
    <row r="8" spans="1:4" x14ac:dyDescent="0.3">
      <c r="A8" s="50" t="s">
        <v>41</v>
      </c>
      <c r="B8" s="51">
        <v>0.17</v>
      </c>
    </row>
    <row r="9" spans="1:4" x14ac:dyDescent="0.3">
      <c r="A9" s="52" t="s">
        <v>42</v>
      </c>
      <c r="B9" s="53">
        <v>0.64</v>
      </c>
    </row>
    <row r="10" spans="1:4" ht="15" thickBot="1" x14ac:dyDescent="0.35">
      <c r="A10" s="54" t="s">
        <v>43</v>
      </c>
      <c r="B10" s="55">
        <v>0.19</v>
      </c>
    </row>
    <row r="13" spans="1:4" ht="15" thickBot="1" x14ac:dyDescent="0.35"/>
    <row r="14" spans="1:4" ht="43.8" thickBot="1" x14ac:dyDescent="0.35">
      <c r="A14" s="56" t="s">
        <v>44</v>
      </c>
      <c r="B14" s="57" t="s">
        <v>45</v>
      </c>
      <c r="C14" s="57" t="s">
        <v>41</v>
      </c>
      <c r="D14" s="58" t="s">
        <v>46</v>
      </c>
    </row>
    <row r="15" spans="1:4" x14ac:dyDescent="0.3">
      <c r="A15" s="20" t="s">
        <v>32</v>
      </c>
      <c r="B15" s="22">
        <v>858434</v>
      </c>
      <c r="C15" s="22">
        <v>243610</v>
      </c>
      <c r="D15" s="27">
        <v>348014</v>
      </c>
    </row>
    <row r="16" spans="1:4" x14ac:dyDescent="0.3">
      <c r="A16" s="28" t="s">
        <v>2</v>
      </c>
      <c r="B16" s="13">
        <v>163024</v>
      </c>
      <c r="C16" s="13">
        <v>57755</v>
      </c>
      <c r="D16" s="31">
        <v>63768</v>
      </c>
    </row>
    <row r="17" spans="1:7" x14ac:dyDescent="0.3">
      <c r="A17" s="28" t="s">
        <v>33</v>
      </c>
      <c r="B17" s="13">
        <v>29364</v>
      </c>
      <c r="C17" s="13">
        <v>18070</v>
      </c>
      <c r="D17" s="31">
        <v>22588</v>
      </c>
    </row>
    <row r="18" spans="1:7" x14ac:dyDescent="0.3">
      <c r="A18" s="28" t="s">
        <v>4</v>
      </c>
      <c r="B18" s="13">
        <v>21866</v>
      </c>
      <c r="C18" s="13">
        <v>5414</v>
      </c>
      <c r="D18" s="31">
        <v>1666</v>
      </c>
    </row>
    <row r="19" spans="1:7" x14ac:dyDescent="0.3">
      <c r="A19" s="28" t="s">
        <v>3</v>
      </c>
      <c r="B19" s="13">
        <v>632980</v>
      </c>
      <c r="C19" s="13">
        <v>127794</v>
      </c>
      <c r="D19" s="31">
        <v>96896</v>
      </c>
    </row>
    <row r="20" spans="1:7" x14ac:dyDescent="0.3">
      <c r="A20" s="28" t="s">
        <v>7</v>
      </c>
      <c r="B20" s="13">
        <v>391764</v>
      </c>
      <c r="C20" s="13">
        <v>121612</v>
      </c>
      <c r="D20" s="31">
        <v>138460</v>
      </c>
    </row>
    <row r="21" spans="1:7" x14ac:dyDescent="0.3">
      <c r="A21" s="28" t="s">
        <v>5</v>
      </c>
      <c r="B21" s="13">
        <v>399047</v>
      </c>
      <c r="C21" s="13">
        <v>57656</v>
      </c>
      <c r="D21" s="31">
        <v>94413</v>
      </c>
    </row>
    <row r="22" spans="1:7" x14ac:dyDescent="0.3">
      <c r="A22" s="28" t="s">
        <v>9</v>
      </c>
      <c r="B22" s="13">
        <v>246151</v>
      </c>
      <c r="C22" s="13">
        <v>93234</v>
      </c>
      <c r="D22" s="31">
        <v>72933</v>
      </c>
    </row>
    <row r="23" spans="1:7" ht="15" thickBot="1" x14ac:dyDescent="0.35">
      <c r="A23" s="33" t="s">
        <v>31</v>
      </c>
      <c r="B23" s="35">
        <v>283798</v>
      </c>
      <c r="C23" s="35">
        <v>54440</v>
      </c>
      <c r="D23" s="40">
        <v>77148</v>
      </c>
    </row>
    <row r="24" spans="1:7" ht="15" thickBot="1" x14ac:dyDescent="0.35">
      <c r="A24" s="16"/>
      <c r="B24" s="59">
        <f>SUM(B15:B23)</f>
        <v>3026428</v>
      </c>
      <c r="C24" s="59">
        <f>SUM(C15:C23)</f>
        <v>779585</v>
      </c>
      <c r="D24" s="60">
        <f>SUM(D15:D23)</f>
        <v>915886</v>
      </c>
    </row>
    <row r="27" spans="1:7" ht="15" thickBot="1" x14ac:dyDescent="0.35"/>
    <row r="28" spans="1:7" ht="43.8" thickBot="1" x14ac:dyDescent="0.35">
      <c r="A28" s="56" t="s">
        <v>44</v>
      </c>
      <c r="B28" s="56" t="s">
        <v>41</v>
      </c>
      <c r="C28" s="56" t="s">
        <v>47</v>
      </c>
      <c r="D28" s="56" t="s">
        <v>42</v>
      </c>
      <c r="E28" s="56" t="s">
        <v>48</v>
      </c>
      <c r="F28" s="56" t="s">
        <v>43</v>
      </c>
      <c r="G28" s="69" t="s">
        <v>49</v>
      </c>
    </row>
    <row r="29" spans="1:7" x14ac:dyDescent="0.3">
      <c r="A29" s="65" t="s">
        <v>32</v>
      </c>
      <c r="B29" s="66">
        <v>243610</v>
      </c>
      <c r="C29" s="67">
        <v>0.10199999999999999</v>
      </c>
      <c r="D29" s="66">
        <v>858434</v>
      </c>
      <c r="E29" s="67">
        <v>0.35899999999999999</v>
      </c>
      <c r="F29" s="66">
        <v>348014</v>
      </c>
      <c r="G29" s="68">
        <v>0.14599999999999999</v>
      </c>
    </row>
    <row r="30" spans="1:7" x14ac:dyDescent="0.3">
      <c r="A30" s="61" t="s">
        <v>2</v>
      </c>
      <c r="B30" s="63">
        <v>57755</v>
      </c>
      <c r="C30" s="62">
        <v>0.156</v>
      </c>
      <c r="D30" s="63">
        <v>163024</v>
      </c>
      <c r="E30" s="62">
        <v>0.441</v>
      </c>
      <c r="F30" s="63">
        <v>63768</v>
      </c>
      <c r="G30" s="64">
        <v>0.17299999999999999</v>
      </c>
    </row>
    <row r="31" spans="1:7" x14ac:dyDescent="0.3">
      <c r="A31" s="61" t="s">
        <v>31</v>
      </c>
      <c r="B31" s="63">
        <v>54440</v>
      </c>
      <c r="C31" s="62">
        <v>0.17599999999999999</v>
      </c>
      <c r="D31" s="63">
        <v>283798</v>
      </c>
      <c r="E31" s="62">
        <v>0.91900000000000004</v>
      </c>
      <c r="F31" s="63">
        <v>77148</v>
      </c>
      <c r="G31" s="64">
        <v>0.25</v>
      </c>
    </row>
    <row r="32" spans="1:7" x14ac:dyDescent="0.3">
      <c r="A32" s="61" t="s">
        <v>33</v>
      </c>
      <c r="B32" s="63">
        <v>18070</v>
      </c>
      <c r="C32" s="62">
        <v>4.7E-2</v>
      </c>
      <c r="D32" s="63">
        <v>29364</v>
      </c>
      <c r="E32" s="62">
        <v>7.6999999999999999E-2</v>
      </c>
      <c r="F32" s="63">
        <v>22588</v>
      </c>
      <c r="G32" s="64">
        <v>5.8999999999999997E-2</v>
      </c>
    </row>
    <row r="33" spans="1:7" x14ac:dyDescent="0.3">
      <c r="A33" s="61" t="s">
        <v>3</v>
      </c>
      <c r="B33" s="63">
        <v>127794</v>
      </c>
      <c r="C33" s="62">
        <v>0.17499999999999999</v>
      </c>
      <c r="D33" s="63">
        <v>632980</v>
      </c>
      <c r="E33" s="62">
        <v>0.86899999999999999</v>
      </c>
      <c r="F33" s="63">
        <v>96896</v>
      </c>
      <c r="G33" s="64">
        <v>0.13300000000000001</v>
      </c>
    </row>
    <row r="34" spans="1:7" x14ac:dyDescent="0.3">
      <c r="A34" s="61" t="s">
        <v>4</v>
      </c>
      <c r="B34" s="63">
        <v>5414</v>
      </c>
      <c r="C34" s="62">
        <v>0.124</v>
      </c>
      <c r="D34" s="63">
        <v>21866</v>
      </c>
      <c r="E34" s="62">
        <v>0.5</v>
      </c>
      <c r="F34" s="63">
        <v>1666</v>
      </c>
      <c r="G34" s="64">
        <v>3.7999999999999999E-2</v>
      </c>
    </row>
    <row r="35" spans="1:7" x14ac:dyDescent="0.3">
      <c r="A35" s="61" t="s">
        <v>7</v>
      </c>
      <c r="B35" s="63">
        <v>121612</v>
      </c>
      <c r="C35" s="62">
        <v>0.28799999999999998</v>
      </c>
      <c r="D35" s="63">
        <v>391764</v>
      </c>
      <c r="E35" s="62">
        <v>0.92800000000000005</v>
      </c>
      <c r="F35" s="63">
        <v>138460</v>
      </c>
      <c r="G35" s="64">
        <v>0.32800000000000001</v>
      </c>
    </row>
    <row r="36" spans="1:7" x14ac:dyDescent="0.3">
      <c r="A36" s="61" t="s">
        <v>5</v>
      </c>
      <c r="B36" s="63">
        <v>57656</v>
      </c>
      <c r="C36" s="62">
        <v>0.13500000000000001</v>
      </c>
      <c r="D36" s="63">
        <v>399047</v>
      </c>
      <c r="E36" s="62">
        <v>0.93799999999999994</v>
      </c>
      <c r="F36" s="63">
        <v>94413</v>
      </c>
      <c r="G36" s="64">
        <v>0.222</v>
      </c>
    </row>
    <row r="37" spans="1:7" ht="15" thickBot="1" x14ac:dyDescent="0.35">
      <c r="A37" s="70" t="s">
        <v>9</v>
      </c>
      <c r="B37" s="71">
        <v>93234</v>
      </c>
      <c r="C37" s="72">
        <v>0.35099999999999998</v>
      </c>
      <c r="D37" s="71">
        <v>246151</v>
      </c>
      <c r="E37" s="72">
        <v>0.92700000000000005</v>
      </c>
      <c r="F37" s="71">
        <v>72933</v>
      </c>
      <c r="G37" s="73">
        <v>0.27500000000000002</v>
      </c>
    </row>
    <row r="38" spans="1:7" ht="15" thickBot="1" x14ac:dyDescent="0.35">
      <c r="A38" s="16"/>
      <c r="B38" s="59">
        <v>779585</v>
      </c>
      <c r="C38" s="17"/>
      <c r="D38" s="59">
        <v>3026428</v>
      </c>
      <c r="E38" s="17"/>
      <c r="F38" s="59">
        <v>915886</v>
      </c>
      <c r="G38" s="19"/>
    </row>
  </sheetData>
  <conditionalFormatting sqref="B15:D23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{63785C10-C204-4DD4-AAA7-E7AEA2B26D63}</x14:id>
        </ext>
      </extLst>
    </cfRule>
  </conditionalFormatting>
  <conditionalFormatting sqref="C29:C37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{9977D6E1-8648-44FC-91B2-7D49BE444811}</x14:id>
        </ext>
      </extLst>
    </cfRule>
  </conditionalFormatting>
  <conditionalFormatting sqref="E29:E37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{37412BB0-81AF-47F3-8834-FA9A57C0AA9B}</x14:id>
        </ext>
      </extLst>
    </cfRule>
  </conditionalFormatting>
  <conditionalFormatting sqref="G29:G37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{3B1417AE-B8D4-43E0-AE39-E56CF2A05682}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785C10-C204-4DD4-AAA7-E7AEA2B26D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B15:D23</xm:sqref>
        </x14:conditionalFormatting>
        <x14:conditionalFormatting xmlns:xm="http://schemas.microsoft.com/office/excel/2006/main">
          <x14:cfRule type="dataBar" id="{9977D6E1-8648-44FC-91B2-7D49BE4448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C29:C37</xm:sqref>
        </x14:conditionalFormatting>
        <x14:conditionalFormatting xmlns:xm="http://schemas.microsoft.com/office/excel/2006/main">
          <x14:cfRule type="dataBar" id="{37412BB0-81AF-47F3-8834-FA9A57C0AA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E29:E37</xm:sqref>
        </x14:conditionalFormatting>
        <x14:conditionalFormatting xmlns:xm="http://schemas.microsoft.com/office/excel/2006/main">
          <x14:cfRule type="dataBar" id="{3B1417AE-B8D4-43E0-AE39-E56CF2A056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G29:G37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4EAD1-4E49-4829-B608-5A2A4073C743}">
  <dimension ref="A1:H22"/>
  <sheetViews>
    <sheetView workbookViewId="0">
      <selection activeCell="A24" sqref="A24"/>
    </sheetView>
  </sheetViews>
  <sheetFormatPr defaultRowHeight="14.4" x14ac:dyDescent="0.3"/>
  <cols>
    <col min="1" max="1" width="27.109375" bestFit="1" customWidth="1"/>
    <col min="2" max="2" width="79.6640625" customWidth="1"/>
    <col min="3" max="8" width="12.6640625" bestFit="1" customWidth="1"/>
  </cols>
  <sheetData>
    <row r="1" spans="1:8" ht="15" thickBot="1" x14ac:dyDescent="0.35">
      <c r="A1" s="1" t="s">
        <v>40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29</v>
      </c>
    </row>
    <row r="2" spans="1:8" x14ac:dyDescent="0.3">
      <c r="A2" s="143" t="s">
        <v>56</v>
      </c>
      <c r="B2" s="2" t="s">
        <v>57</v>
      </c>
      <c r="C2" s="3">
        <v>646910</v>
      </c>
      <c r="D2" s="3">
        <v>2519405</v>
      </c>
      <c r="E2" s="3">
        <v>1791223</v>
      </c>
      <c r="F2" s="3">
        <v>377789</v>
      </c>
      <c r="G2" s="3">
        <v>0</v>
      </c>
      <c r="H2" s="3">
        <f>SUM(E2:G2)</f>
        <v>2169012</v>
      </c>
    </row>
    <row r="3" spans="1:8" x14ac:dyDescent="0.3">
      <c r="A3" s="144"/>
      <c r="B3" s="4" t="s">
        <v>58</v>
      </c>
      <c r="C3" s="5">
        <v>4424575</v>
      </c>
      <c r="D3" s="5">
        <v>78553</v>
      </c>
      <c r="E3" s="5">
        <v>710299</v>
      </c>
      <c r="F3" s="5">
        <v>108294</v>
      </c>
      <c r="G3" s="5">
        <v>13607</v>
      </c>
      <c r="H3" s="5">
        <f t="shared" ref="H3:H22" si="0">SUM(E3:G3)</f>
        <v>832200</v>
      </c>
    </row>
    <row r="4" spans="1:8" ht="15" thickBot="1" x14ac:dyDescent="0.35">
      <c r="A4" s="145"/>
      <c r="B4" s="6" t="s">
        <v>59</v>
      </c>
      <c r="C4" s="7">
        <v>2752276</v>
      </c>
      <c r="D4" s="7">
        <v>1557467</v>
      </c>
      <c r="E4" s="7">
        <v>480842</v>
      </c>
      <c r="F4" s="7">
        <v>544743</v>
      </c>
      <c r="G4" s="7">
        <v>0</v>
      </c>
      <c r="H4" s="7">
        <f t="shared" si="0"/>
        <v>1025585</v>
      </c>
    </row>
    <row r="5" spans="1:8" x14ac:dyDescent="0.3">
      <c r="A5" s="143" t="s">
        <v>60</v>
      </c>
      <c r="B5" s="2" t="s">
        <v>61</v>
      </c>
      <c r="C5" s="3">
        <v>3284034</v>
      </c>
      <c r="D5" s="3">
        <v>295542</v>
      </c>
      <c r="E5" s="3">
        <v>1651447</v>
      </c>
      <c r="F5" s="3">
        <v>104304</v>
      </c>
      <c r="G5" s="3">
        <v>0</v>
      </c>
      <c r="H5" s="3">
        <f t="shared" si="0"/>
        <v>1755751</v>
      </c>
    </row>
    <row r="6" spans="1:8" x14ac:dyDescent="0.3">
      <c r="A6" s="144"/>
      <c r="B6" s="4" t="s">
        <v>62</v>
      </c>
      <c r="C6" s="5">
        <v>1929659</v>
      </c>
      <c r="D6" s="5">
        <v>694399</v>
      </c>
      <c r="E6" s="5">
        <v>574136</v>
      </c>
      <c r="F6" s="5">
        <v>1822186</v>
      </c>
      <c r="G6" s="5">
        <v>314946</v>
      </c>
      <c r="H6" s="5">
        <f t="shared" si="0"/>
        <v>2711268</v>
      </c>
    </row>
    <row r="7" spans="1:8" x14ac:dyDescent="0.3">
      <c r="A7" s="144"/>
      <c r="B7" s="4" t="s">
        <v>63</v>
      </c>
      <c r="C7" s="5">
        <v>3894912</v>
      </c>
      <c r="D7" s="5">
        <v>825305</v>
      </c>
      <c r="E7" s="5">
        <v>506132</v>
      </c>
      <c r="F7" s="5">
        <v>70325</v>
      </c>
      <c r="G7" s="5">
        <v>38653</v>
      </c>
      <c r="H7" s="5">
        <f t="shared" si="0"/>
        <v>615110</v>
      </c>
    </row>
    <row r="8" spans="1:8" x14ac:dyDescent="0.3">
      <c r="A8" s="144"/>
      <c r="B8" s="4" t="s">
        <v>64</v>
      </c>
      <c r="C8" s="5">
        <v>684253</v>
      </c>
      <c r="D8" s="5">
        <v>2662024</v>
      </c>
      <c r="E8" s="5">
        <v>236400</v>
      </c>
      <c r="F8" s="5">
        <v>1752651</v>
      </c>
      <c r="G8" s="5">
        <v>0</v>
      </c>
      <c r="H8" s="5">
        <f t="shared" si="0"/>
        <v>1989051</v>
      </c>
    </row>
    <row r="9" spans="1:8" x14ac:dyDescent="0.3">
      <c r="A9" s="144"/>
      <c r="B9" s="4" t="s">
        <v>65</v>
      </c>
      <c r="C9" s="5">
        <v>4409796</v>
      </c>
      <c r="D9" s="5">
        <v>212732</v>
      </c>
      <c r="E9" s="5">
        <v>341085</v>
      </c>
      <c r="F9" s="5">
        <v>57821</v>
      </c>
      <c r="G9" s="5">
        <v>313893</v>
      </c>
      <c r="H9" s="5">
        <f t="shared" si="0"/>
        <v>712799</v>
      </c>
    </row>
    <row r="10" spans="1:8" x14ac:dyDescent="0.3">
      <c r="A10" s="144"/>
      <c r="B10" s="4" t="s">
        <v>66</v>
      </c>
      <c r="C10" s="5">
        <v>196992</v>
      </c>
      <c r="D10" s="5">
        <v>345845</v>
      </c>
      <c r="E10" s="5">
        <v>1068989</v>
      </c>
      <c r="F10" s="5">
        <v>1714161</v>
      </c>
      <c r="G10" s="5">
        <v>2009341</v>
      </c>
      <c r="H10" s="5">
        <f t="shared" si="0"/>
        <v>4792491</v>
      </c>
    </row>
    <row r="11" spans="1:8" x14ac:dyDescent="0.3">
      <c r="A11" s="144"/>
      <c r="B11" s="4" t="s">
        <v>67</v>
      </c>
      <c r="C11" s="5">
        <v>5105071</v>
      </c>
      <c r="D11" s="5">
        <v>0</v>
      </c>
      <c r="E11" s="5">
        <v>178312</v>
      </c>
      <c r="F11" s="5">
        <v>0</v>
      </c>
      <c r="G11" s="5">
        <v>51944</v>
      </c>
      <c r="H11" s="5">
        <f t="shared" si="0"/>
        <v>230256</v>
      </c>
    </row>
    <row r="12" spans="1:8" x14ac:dyDescent="0.3">
      <c r="A12" s="144"/>
      <c r="B12" s="4" t="s">
        <v>68</v>
      </c>
      <c r="C12" s="5">
        <v>3243104</v>
      </c>
      <c r="D12" s="5">
        <v>1633801</v>
      </c>
      <c r="E12" s="5">
        <v>130392</v>
      </c>
      <c r="F12" s="5">
        <v>328030</v>
      </c>
      <c r="G12" s="5">
        <v>0</v>
      </c>
      <c r="H12" s="5">
        <f t="shared" si="0"/>
        <v>458422</v>
      </c>
    </row>
    <row r="13" spans="1:8" x14ac:dyDescent="0.3">
      <c r="A13" s="144"/>
      <c r="B13" s="4" t="s">
        <v>69</v>
      </c>
      <c r="C13" s="5">
        <v>4294802</v>
      </c>
      <c r="D13" s="5">
        <v>618981</v>
      </c>
      <c r="E13" s="5">
        <v>276658</v>
      </c>
      <c r="F13" s="5">
        <v>144886</v>
      </c>
      <c r="G13" s="5">
        <v>0</v>
      </c>
      <c r="H13" s="5">
        <f t="shared" si="0"/>
        <v>421544</v>
      </c>
    </row>
    <row r="14" spans="1:8" x14ac:dyDescent="0.3">
      <c r="A14" s="144"/>
      <c r="B14" s="4" t="s">
        <v>70</v>
      </c>
      <c r="C14" s="5">
        <v>5043099</v>
      </c>
      <c r="D14" s="5">
        <v>0</v>
      </c>
      <c r="E14" s="5">
        <v>280386</v>
      </c>
      <c r="F14" s="5">
        <v>11842</v>
      </c>
      <c r="G14" s="5">
        <v>0</v>
      </c>
      <c r="H14" s="5">
        <f t="shared" si="0"/>
        <v>292228</v>
      </c>
    </row>
    <row r="15" spans="1:8" x14ac:dyDescent="0.3">
      <c r="A15" s="144"/>
      <c r="B15" s="4" t="s">
        <v>71</v>
      </c>
      <c r="C15" s="5">
        <v>2238111</v>
      </c>
      <c r="D15" s="5">
        <v>2001690</v>
      </c>
      <c r="E15" s="5">
        <v>548869</v>
      </c>
      <c r="F15" s="5">
        <v>467948</v>
      </c>
      <c r="G15" s="5">
        <v>78709</v>
      </c>
      <c r="H15" s="5">
        <f t="shared" si="0"/>
        <v>1095526</v>
      </c>
    </row>
    <row r="16" spans="1:8" ht="15" thickBot="1" x14ac:dyDescent="0.35">
      <c r="A16" s="145"/>
      <c r="B16" s="6" t="s">
        <v>72</v>
      </c>
      <c r="C16" s="7">
        <v>3866421</v>
      </c>
      <c r="D16" s="7">
        <v>238006</v>
      </c>
      <c r="E16" s="7">
        <v>1098941</v>
      </c>
      <c r="F16" s="7">
        <v>131959</v>
      </c>
      <c r="G16" s="7">
        <v>0</v>
      </c>
      <c r="H16" s="7">
        <f t="shared" si="0"/>
        <v>1230900</v>
      </c>
    </row>
    <row r="17" spans="1:8" x14ac:dyDescent="0.3">
      <c r="A17" s="143" t="s">
        <v>73</v>
      </c>
      <c r="B17" s="2" t="s">
        <v>74</v>
      </c>
      <c r="C17" s="3">
        <v>5145388</v>
      </c>
      <c r="D17" s="3">
        <v>0</v>
      </c>
      <c r="E17" s="3">
        <v>169017</v>
      </c>
      <c r="F17" s="3">
        <v>20922</v>
      </c>
      <c r="G17" s="3">
        <v>0</v>
      </c>
      <c r="H17" s="3">
        <f t="shared" si="0"/>
        <v>189939</v>
      </c>
    </row>
    <row r="18" spans="1:8" x14ac:dyDescent="0.3">
      <c r="A18" s="144"/>
      <c r="B18" s="4" t="s">
        <v>75</v>
      </c>
      <c r="C18" s="5">
        <v>4829034</v>
      </c>
      <c r="D18" s="5">
        <v>308179</v>
      </c>
      <c r="E18" s="5">
        <v>139069</v>
      </c>
      <c r="F18" s="5">
        <v>47222</v>
      </c>
      <c r="G18" s="5">
        <v>11823</v>
      </c>
      <c r="H18" s="5">
        <f t="shared" si="0"/>
        <v>198114</v>
      </c>
    </row>
    <row r="19" spans="1:8" x14ac:dyDescent="0.3">
      <c r="A19" s="144"/>
      <c r="B19" s="4" t="s">
        <v>76</v>
      </c>
      <c r="C19" s="5">
        <v>5073403</v>
      </c>
      <c r="D19" s="5">
        <v>0</v>
      </c>
      <c r="E19" s="5">
        <v>261924</v>
      </c>
      <c r="F19" s="5">
        <v>0</v>
      </c>
      <c r="G19" s="5">
        <v>0</v>
      </c>
      <c r="H19" s="5">
        <f t="shared" si="0"/>
        <v>261924</v>
      </c>
    </row>
    <row r="20" spans="1:8" x14ac:dyDescent="0.3">
      <c r="A20" s="144"/>
      <c r="B20" s="4" t="s">
        <v>77</v>
      </c>
      <c r="C20" s="5">
        <v>3885151</v>
      </c>
      <c r="D20" s="5">
        <v>355191</v>
      </c>
      <c r="E20" s="5">
        <v>413491</v>
      </c>
      <c r="F20" s="5">
        <v>309803</v>
      </c>
      <c r="G20" s="5">
        <v>371691</v>
      </c>
      <c r="H20" s="5">
        <f t="shared" si="0"/>
        <v>1094985</v>
      </c>
    </row>
    <row r="21" spans="1:8" x14ac:dyDescent="0.3">
      <c r="A21" s="144"/>
      <c r="B21" s="4" t="s">
        <v>78</v>
      </c>
      <c r="C21" s="5">
        <v>3376592</v>
      </c>
      <c r="D21" s="5">
        <v>829400</v>
      </c>
      <c r="E21" s="5">
        <v>531242</v>
      </c>
      <c r="F21" s="5">
        <v>351153</v>
      </c>
      <c r="G21" s="5">
        <v>246941</v>
      </c>
      <c r="H21" s="5">
        <f t="shared" si="0"/>
        <v>1129336</v>
      </c>
    </row>
    <row r="22" spans="1:8" ht="15" thickBot="1" x14ac:dyDescent="0.35">
      <c r="A22" s="145"/>
      <c r="B22" s="6" t="s">
        <v>79</v>
      </c>
      <c r="C22" s="7">
        <v>4042688</v>
      </c>
      <c r="D22" s="7">
        <v>653184</v>
      </c>
      <c r="E22" s="7">
        <v>513860</v>
      </c>
      <c r="F22" s="7">
        <v>117900</v>
      </c>
      <c r="G22" s="7">
        <v>7694</v>
      </c>
      <c r="H22" s="7">
        <f t="shared" si="0"/>
        <v>639454</v>
      </c>
    </row>
  </sheetData>
  <mergeCells count="3">
    <mergeCell ref="A2:A4"/>
    <mergeCell ref="A5:A16"/>
    <mergeCell ref="A17:A22"/>
  </mergeCells>
  <conditionalFormatting sqref="H2:H16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{E0BB2149-D4F6-4611-A3B5-B1983F93C7A5}</x14:id>
        </ext>
      </extLst>
    </cfRule>
  </conditionalFormatting>
  <conditionalFormatting sqref="E2:E4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{73DEBEA2-6D79-4E07-B93B-2DECC40606A8}</x14:id>
        </ext>
      </extLst>
    </cfRule>
  </conditionalFormatting>
  <conditionalFormatting sqref="F2:F4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{A103B1AB-12C7-47D5-87B3-D6B98D80ABB3}</x14:id>
        </ext>
      </extLst>
    </cfRule>
  </conditionalFormatting>
  <conditionalFormatting sqref="G2:G4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{8E77255D-43E3-4B37-AF82-C682A10B9A92}</x14:id>
        </ext>
      </extLst>
    </cfRule>
  </conditionalFormatting>
  <conditionalFormatting sqref="E17:E22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{10064F09-138E-48B4-8527-3F08CBAF4566}</x14:id>
        </ext>
      </extLst>
    </cfRule>
  </conditionalFormatting>
  <conditionalFormatting sqref="E5:E16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{17D4E495-1183-4748-A996-B83829F5646A}</x14:id>
        </ext>
      </extLst>
    </cfRule>
  </conditionalFormatting>
  <conditionalFormatting sqref="F5:F16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{6A4F018F-A05B-4102-9124-FF2F9CB3A3C6}</x14:id>
        </ext>
      </extLst>
    </cfRule>
  </conditionalFormatting>
  <conditionalFormatting sqref="G5:G16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{76E69687-7086-440F-A98C-DCAE254F3409}</x14:id>
        </ext>
      </extLst>
    </cfRule>
  </conditionalFormatting>
  <conditionalFormatting sqref="H5:H16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{17EFD501-7DC7-48D7-AFDB-1355F0252251}</x14:id>
        </ext>
      </extLst>
    </cfRule>
  </conditionalFormatting>
  <conditionalFormatting sqref="F17:F22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{315D27E8-476B-4E6A-AB85-D524EC862BC3}</x14:id>
        </ext>
      </extLst>
    </cfRule>
  </conditionalFormatting>
  <conditionalFormatting sqref="G17:G22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{BCE6EA49-1523-4404-8E64-D2B9DBD6FE37}</x14:id>
        </ext>
      </extLst>
    </cfRule>
  </conditionalFormatting>
  <conditionalFormatting sqref="H17:H22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{7D4A675C-53F9-4250-B711-93BE2EC6B766}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BB2149-D4F6-4611-A3B5-B1983F93C7A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H2:H16</xm:sqref>
        </x14:conditionalFormatting>
        <x14:conditionalFormatting xmlns:xm="http://schemas.microsoft.com/office/excel/2006/main">
          <x14:cfRule type="dataBar" id="{73DEBEA2-6D79-4E07-B93B-2DECC40606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E2:E4</xm:sqref>
        </x14:conditionalFormatting>
        <x14:conditionalFormatting xmlns:xm="http://schemas.microsoft.com/office/excel/2006/main">
          <x14:cfRule type="dataBar" id="{A103B1AB-12C7-47D5-87B3-D6B98D80ABB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F2:F4</xm:sqref>
        </x14:conditionalFormatting>
        <x14:conditionalFormatting xmlns:xm="http://schemas.microsoft.com/office/excel/2006/main">
          <x14:cfRule type="dataBar" id="{8E77255D-43E3-4B37-AF82-C682A10B9A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G2:G4</xm:sqref>
        </x14:conditionalFormatting>
        <x14:conditionalFormatting xmlns:xm="http://schemas.microsoft.com/office/excel/2006/main">
          <x14:cfRule type="dataBar" id="{10064F09-138E-48B4-8527-3F08CBAF456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E17:E22</xm:sqref>
        </x14:conditionalFormatting>
        <x14:conditionalFormatting xmlns:xm="http://schemas.microsoft.com/office/excel/2006/main">
          <x14:cfRule type="dataBar" id="{17D4E495-1183-4748-A996-B83829F564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E5:E16</xm:sqref>
        </x14:conditionalFormatting>
        <x14:conditionalFormatting xmlns:xm="http://schemas.microsoft.com/office/excel/2006/main">
          <x14:cfRule type="dataBar" id="{6A4F018F-A05B-4102-9124-FF2F9CB3A3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F5:F16</xm:sqref>
        </x14:conditionalFormatting>
        <x14:conditionalFormatting xmlns:xm="http://schemas.microsoft.com/office/excel/2006/main">
          <x14:cfRule type="dataBar" id="{76E69687-7086-440F-A98C-DCAE254F34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G5:G16</xm:sqref>
        </x14:conditionalFormatting>
        <x14:conditionalFormatting xmlns:xm="http://schemas.microsoft.com/office/excel/2006/main">
          <x14:cfRule type="dataBar" id="{17EFD501-7DC7-48D7-AFDB-1355F025225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H5:H16</xm:sqref>
        </x14:conditionalFormatting>
        <x14:conditionalFormatting xmlns:xm="http://schemas.microsoft.com/office/excel/2006/main">
          <x14:cfRule type="dataBar" id="{315D27E8-476B-4E6A-AB85-D524EC862B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F17:F22</xm:sqref>
        </x14:conditionalFormatting>
        <x14:conditionalFormatting xmlns:xm="http://schemas.microsoft.com/office/excel/2006/main">
          <x14:cfRule type="dataBar" id="{BCE6EA49-1523-4404-8E64-D2B9DBD6FE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G17:G22</xm:sqref>
        </x14:conditionalFormatting>
        <x14:conditionalFormatting xmlns:xm="http://schemas.microsoft.com/office/excel/2006/main">
          <x14:cfRule type="dataBar" id="{7D4A675C-53F9-4250-B711-93BE2EC6B76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H17:H22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EF809-2C23-4B8B-9DA8-A69BFBD447D7}">
  <dimension ref="A1:P43"/>
  <sheetViews>
    <sheetView topLeftCell="B1" workbookViewId="0">
      <selection activeCell="N1" sqref="N1:P9"/>
    </sheetView>
  </sheetViews>
  <sheetFormatPr defaultRowHeight="14.4" x14ac:dyDescent="0.3"/>
  <cols>
    <col min="1" max="1" width="30" bestFit="1" customWidth="1"/>
    <col min="2" max="2" width="13.109375" bestFit="1" customWidth="1"/>
    <col min="3" max="3" width="14.33203125" customWidth="1"/>
    <col min="5" max="5" width="12.5546875" customWidth="1"/>
    <col min="6" max="6" width="10.6640625" customWidth="1"/>
    <col min="7" max="7" width="11.33203125" customWidth="1"/>
    <col min="9" max="9" width="11.44140625" customWidth="1"/>
    <col min="10" max="10" width="10.6640625" customWidth="1"/>
    <col min="14" max="14" width="28.44140625" customWidth="1"/>
    <col min="15" max="15" width="22" customWidth="1"/>
    <col min="16" max="16" width="16.6640625" customWidth="1"/>
  </cols>
  <sheetData>
    <row r="1" spans="1:16" ht="23.4" x14ac:dyDescent="0.45">
      <c r="A1" s="12" t="s">
        <v>80</v>
      </c>
      <c r="B1" s="12" t="s">
        <v>81</v>
      </c>
      <c r="C1" s="12" t="s">
        <v>82</v>
      </c>
      <c r="D1" s="12" t="s">
        <v>22</v>
      </c>
      <c r="E1" s="12" t="s">
        <v>23</v>
      </c>
      <c r="F1" s="12" t="s">
        <v>24</v>
      </c>
      <c r="G1" s="12" t="s">
        <v>25</v>
      </c>
      <c r="H1" s="12" t="s">
        <v>83</v>
      </c>
      <c r="I1" s="12" t="s">
        <v>29</v>
      </c>
      <c r="J1" s="12" t="s">
        <v>19</v>
      </c>
      <c r="N1" s="81" t="s">
        <v>84</v>
      </c>
    </row>
    <row r="2" spans="1:16" x14ac:dyDescent="0.3">
      <c r="A2" t="s">
        <v>85</v>
      </c>
      <c r="B2" t="s">
        <v>32</v>
      </c>
      <c r="C2" s="14">
        <v>0.2</v>
      </c>
      <c r="D2" s="14">
        <v>0.4</v>
      </c>
      <c r="E2" s="14">
        <v>0.2</v>
      </c>
      <c r="F2" s="14">
        <v>0.2</v>
      </c>
      <c r="G2" s="14">
        <v>0</v>
      </c>
      <c r="H2" s="13">
        <v>143403</v>
      </c>
      <c r="I2" s="13">
        <v>57361</v>
      </c>
      <c r="J2" t="s">
        <v>1</v>
      </c>
      <c r="N2" s="8" t="s">
        <v>8</v>
      </c>
      <c r="O2" s="79">
        <v>946675</v>
      </c>
      <c r="P2" s="80">
        <v>0.45610999734527047</v>
      </c>
    </row>
    <row r="3" spans="1:16" x14ac:dyDescent="0.3">
      <c r="A3" t="s">
        <v>85</v>
      </c>
      <c r="B3" t="s">
        <v>3</v>
      </c>
      <c r="C3" s="14">
        <v>0</v>
      </c>
      <c r="D3" s="14">
        <v>0.04</v>
      </c>
      <c r="E3" s="14">
        <v>0.94699999999999995</v>
      </c>
      <c r="F3" s="14">
        <v>8.9999999999999993E-3</v>
      </c>
      <c r="G3" s="14">
        <v>0</v>
      </c>
      <c r="H3" s="13">
        <v>43695</v>
      </c>
      <c r="I3" s="13">
        <v>41732</v>
      </c>
      <c r="J3" t="s">
        <v>30</v>
      </c>
      <c r="N3" s="8" t="s">
        <v>18</v>
      </c>
      <c r="O3" s="79">
        <v>606057.97199999995</v>
      </c>
      <c r="P3" s="80">
        <v>0.29199999999999998</v>
      </c>
    </row>
    <row r="4" spans="1:16" x14ac:dyDescent="0.3">
      <c r="A4" t="s">
        <v>85</v>
      </c>
      <c r="B4" t="s">
        <v>7</v>
      </c>
      <c r="C4" s="14">
        <v>0</v>
      </c>
      <c r="D4" s="14">
        <v>0.1</v>
      </c>
      <c r="E4" s="14">
        <v>0.70099999999999996</v>
      </c>
      <c r="F4" s="14">
        <v>0.20100000000000001</v>
      </c>
      <c r="G4" s="14">
        <v>0</v>
      </c>
      <c r="H4" s="13">
        <v>25337</v>
      </c>
      <c r="I4" s="13">
        <v>22850</v>
      </c>
      <c r="J4" t="s">
        <v>30</v>
      </c>
      <c r="N4" s="8" t="s">
        <v>10</v>
      </c>
      <c r="O4" s="79">
        <v>464180</v>
      </c>
      <c r="P4" s="80">
        <v>0.22364289599675458</v>
      </c>
    </row>
    <row r="5" spans="1:16" x14ac:dyDescent="0.3">
      <c r="A5" t="s">
        <v>85</v>
      </c>
      <c r="B5" t="s">
        <v>9</v>
      </c>
      <c r="C5" s="14">
        <v>0</v>
      </c>
      <c r="D5" s="14">
        <v>0</v>
      </c>
      <c r="E5" s="14">
        <v>0</v>
      </c>
      <c r="F5" s="14">
        <v>1</v>
      </c>
      <c r="G5" s="14">
        <v>0</v>
      </c>
      <c r="H5" s="13">
        <v>15930</v>
      </c>
      <c r="I5" s="13">
        <v>15930</v>
      </c>
      <c r="J5" t="s">
        <v>30</v>
      </c>
      <c r="N5" s="8" t="s">
        <v>16</v>
      </c>
      <c r="O5" s="79">
        <v>280198.03500000003</v>
      </c>
      <c r="P5" s="80">
        <v>0.13500000000000001</v>
      </c>
    </row>
    <row r="6" spans="1:16" x14ac:dyDescent="0.3">
      <c r="A6" t="s">
        <v>85</v>
      </c>
      <c r="B6" t="s">
        <v>31</v>
      </c>
      <c r="C6" s="14">
        <v>0</v>
      </c>
      <c r="D6" s="14">
        <v>0.48</v>
      </c>
      <c r="E6" s="14">
        <v>0.44600000000000001</v>
      </c>
      <c r="F6" s="14">
        <v>7.3999999999999996E-2</v>
      </c>
      <c r="G6" s="14">
        <v>0</v>
      </c>
      <c r="H6" s="13">
        <v>18526</v>
      </c>
      <c r="I6" s="13">
        <v>9646</v>
      </c>
      <c r="J6" t="s">
        <v>30</v>
      </c>
      <c r="N6" s="8" t="s">
        <v>13</v>
      </c>
      <c r="O6" s="79">
        <v>228309.51</v>
      </c>
      <c r="P6" s="80">
        <v>0.11</v>
      </c>
    </row>
    <row r="7" spans="1:16" x14ac:dyDescent="0.3">
      <c r="A7" t="s">
        <v>85</v>
      </c>
      <c r="B7" t="s">
        <v>5</v>
      </c>
      <c r="C7" s="14">
        <v>0</v>
      </c>
      <c r="D7" s="14">
        <v>0.65</v>
      </c>
      <c r="E7" s="14">
        <v>0.34799999999999998</v>
      </c>
      <c r="F7" s="14">
        <v>6.0000000000000001E-3</v>
      </c>
      <c r="G7" s="14">
        <v>0</v>
      </c>
      <c r="H7" s="13">
        <v>25532</v>
      </c>
      <c r="I7" s="13">
        <v>9020</v>
      </c>
      <c r="J7" t="s">
        <v>30</v>
      </c>
      <c r="N7" s="8" t="s">
        <v>15</v>
      </c>
      <c r="O7" s="79">
        <v>124532.45999999999</v>
      </c>
      <c r="P7" s="80">
        <v>0.06</v>
      </c>
    </row>
    <row r="8" spans="1:16" x14ac:dyDescent="0.3">
      <c r="A8" t="s">
        <v>85</v>
      </c>
      <c r="B8" t="s">
        <v>2</v>
      </c>
      <c r="C8" s="14">
        <v>3.6999999999999998E-2</v>
      </c>
      <c r="D8" s="14">
        <v>0.6</v>
      </c>
      <c r="E8" s="14">
        <v>0.318</v>
      </c>
      <c r="F8" s="14">
        <v>4.7E-2</v>
      </c>
      <c r="G8" s="14">
        <v>0</v>
      </c>
      <c r="H8" s="13">
        <v>22169</v>
      </c>
      <c r="I8" s="13">
        <v>8094</v>
      </c>
      <c r="J8" t="s">
        <v>1</v>
      </c>
      <c r="N8" s="8" t="s">
        <v>17</v>
      </c>
      <c r="O8" s="79">
        <v>49812.984000000004</v>
      </c>
      <c r="P8" s="80">
        <v>2.4E-2</v>
      </c>
    </row>
    <row r="9" spans="1:16" x14ac:dyDescent="0.3">
      <c r="A9" t="s">
        <v>86</v>
      </c>
      <c r="B9" t="s">
        <v>32</v>
      </c>
      <c r="C9" s="14">
        <v>0.13500000000000001</v>
      </c>
      <c r="D9" s="14">
        <v>0.59</v>
      </c>
      <c r="E9" s="14">
        <v>0.24299999999999999</v>
      </c>
      <c r="F9" s="14">
        <v>2.7E-2</v>
      </c>
      <c r="G9" s="14">
        <v>0</v>
      </c>
      <c r="H9" s="13">
        <v>262905</v>
      </c>
      <c r="I9" s="13">
        <v>71055</v>
      </c>
      <c r="J9" t="s">
        <v>1</v>
      </c>
      <c r="N9" s="8" t="s">
        <v>14</v>
      </c>
      <c r="O9" s="79">
        <v>12453.246000000001</v>
      </c>
      <c r="P9" s="80">
        <v>6.0000000000000001E-3</v>
      </c>
    </row>
    <row r="10" spans="1:16" x14ac:dyDescent="0.3">
      <c r="A10" t="s">
        <v>86</v>
      </c>
      <c r="B10" t="s">
        <v>3</v>
      </c>
      <c r="C10" s="14">
        <v>8.1000000000000003E-2</v>
      </c>
      <c r="D10" s="14">
        <v>0.44</v>
      </c>
      <c r="E10" s="14">
        <v>0.46100000000000002</v>
      </c>
      <c r="F10" s="14">
        <v>1.6E-2</v>
      </c>
      <c r="G10" s="14">
        <v>0</v>
      </c>
      <c r="H10" s="13">
        <v>80107</v>
      </c>
      <c r="I10" s="13">
        <v>38148</v>
      </c>
      <c r="J10" t="s">
        <v>30</v>
      </c>
    </row>
    <row r="11" spans="1:16" x14ac:dyDescent="0.3">
      <c r="A11" t="s">
        <v>86</v>
      </c>
      <c r="B11" t="s">
        <v>7</v>
      </c>
      <c r="C11" s="14">
        <v>0</v>
      </c>
      <c r="D11" s="14">
        <v>0.28999999999999998</v>
      </c>
      <c r="E11" s="14">
        <v>0.58899999999999997</v>
      </c>
      <c r="F11" s="14">
        <v>0.11600000000000001</v>
      </c>
      <c r="G11" s="14">
        <v>0.01</v>
      </c>
      <c r="H11" s="13">
        <v>46451</v>
      </c>
      <c r="I11" s="13">
        <v>33084</v>
      </c>
      <c r="J11" t="s">
        <v>30</v>
      </c>
    </row>
    <row r="12" spans="1:16" x14ac:dyDescent="0.3">
      <c r="A12" t="s">
        <v>86</v>
      </c>
      <c r="B12" t="s">
        <v>5</v>
      </c>
      <c r="C12" s="14">
        <v>1.0999999999999999E-2</v>
      </c>
      <c r="D12" s="14">
        <v>0.49</v>
      </c>
      <c r="E12" s="14">
        <v>0.44600000000000001</v>
      </c>
      <c r="F12" s="14">
        <v>5.0999999999999997E-2</v>
      </c>
      <c r="G12" s="14">
        <v>0</v>
      </c>
      <c r="H12" s="13">
        <v>46808</v>
      </c>
      <c r="I12" s="13">
        <v>23287</v>
      </c>
      <c r="J12" t="s">
        <v>30</v>
      </c>
    </row>
    <row r="13" spans="1:16" x14ac:dyDescent="0.3">
      <c r="A13" t="s">
        <v>86</v>
      </c>
      <c r="B13" t="s">
        <v>9</v>
      </c>
      <c r="C13" s="14">
        <v>0</v>
      </c>
      <c r="D13" s="14">
        <v>0.24</v>
      </c>
      <c r="E13" s="14">
        <v>0.58399999999999996</v>
      </c>
      <c r="F13" s="14">
        <v>0.17399999999999999</v>
      </c>
      <c r="G13" s="14">
        <v>0</v>
      </c>
      <c r="H13" s="13">
        <v>29205</v>
      </c>
      <c r="I13" s="13">
        <v>22141</v>
      </c>
      <c r="J13" t="s">
        <v>30</v>
      </c>
    </row>
    <row r="14" spans="1:16" x14ac:dyDescent="0.3">
      <c r="A14" t="s">
        <v>86</v>
      </c>
      <c r="B14" t="s">
        <v>31</v>
      </c>
      <c r="C14" s="14">
        <v>1.4999999999999999E-2</v>
      </c>
      <c r="D14" s="14">
        <v>0.35</v>
      </c>
      <c r="E14" s="14">
        <v>0.52600000000000002</v>
      </c>
      <c r="F14" s="14">
        <v>0.111</v>
      </c>
      <c r="G14" s="14">
        <v>0</v>
      </c>
      <c r="H14" s="13">
        <v>33964</v>
      </c>
      <c r="I14" s="13">
        <v>21623</v>
      </c>
      <c r="J14" t="s">
        <v>30</v>
      </c>
    </row>
    <row r="15" spans="1:16" x14ac:dyDescent="0.3">
      <c r="A15" t="s">
        <v>86</v>
      </c>
      <c r="B15" t="s">
        <v>2</v>
      </c>
      <c r="C15" s="14">
        <v>0.106</v>
      </c>
      <c r="D15" s="14">
        <v>0.66</v>
      </c>
      <c r="E15" s="14">
        <v>0.21199999999999999</v>
      </c>
      <c r="F15" s="14">
        <v>2.1999999999999999E-2</v>
      </c>
      <c r="G15" s="14">
        <v>0</v>
      </c>
      <c r="H15" s="13">
        <v>40644</v>
      </c>
      <c r="I15" s="13">
        <v>9521</v>
      </c>
      <c r="J15" t="s">
        <v>1</v>
      </c>
    </row>
    <row r="16" spans="1:16" x14ac:dyDescent="0.3">
      <c r="A16" t="s">
        <v>86</v>
      </c>
      <c r="B16" t="s">
        <v>33</v>
      </c>
      <c r="C16" s="14">
        <v>0.71799999999999997</v>
      </c>
      <c r="D16" s="14">
        <v>0.23</v>
      </c>
      <c r="E16" s="14">
        <v>5.0999999999999997E-2</v>
      </c>
      <c r="F16" s="14">
        <v>0</v>
      </c>
      <c r="G16" s="14">
        <v>0</v>
      </c>
      <c r="H16" s="13">
        <v>41991</v>
      </c>
      <c r="I16" s="13">
        <v>2153</v>
      </c>
      <c r="J16" t="s">
        <v>1</v>
      </c>
    </row>
    <row r="17" spans="1:10" x14ac:dyDescent="0.3">
      <c r="A17" t="s">
        <v>86</v>
      </c>
      <c r="B17" t="s">
        <v>4</v>
      </c>
      <c r="C17" s="14">
        <v>0.15</v>
      </c>
      <c r="D17" s="14">
        <v>0.55000000000000004</v>
      </c>
      <c r="E17" s="14">
        <v>0.3</v>
      </c>
      <c r="F17" s="14">
        <v>0</v>
      </c>
      <c r="G17" s="14">
        <v>0</v>
      </c>
      <c r="H17" s="13">
        <v>4810</v>
      </c>
      <c r="I17" s="13">
        <v>1443</v>
      </c>
      <c r="J17" t="s">
        <v>1</v>
      </c>
    </row>
    <row r="18" spans="1:10" x14ac:dyDescent="0.3">
      <c r="A18" t="s">
        <v>87</v>
      </c>
      <c r="B18" t="s">
        <v>3</v>
      </c>
      <c r="C18" s="14">
        <v>7.0000000000000007E-2</v>
      </c>
      <c r="D18" s="14">
        <v>0.53</v>
      </c>
      <c r="E18" s="14">
        <v>0.32700000000000001</v>
      </c>
      <c r="F18" s="14">
        <v>7.1999999999999995E-2</v>
      </c>
      <c r="G18" s="14">
        <v>0</v>
      </c>
      <c r="H18" s="13">
        <v>7282</v>
      </c>
      <c r="I18" s="13">
        <v>2901</v>
      </c>
      <c r="J18" t="s">
        <v>30</v>
      </c>
    </row>
    <row r="19" spans="1:10" x14ac:dyDescent="0.3">
      <c r="A19" t="s">
        <v>87</v>
      </c>
      <c r="B19" t="s">
        <v>5</v>
      </c>
      <c r="C19" s="14">
        <v>0</v>
      </c>
      <c r="D19" s="14">
        <v>0.33</v>
      </c>
      <c r="E19" s="14">
        <v>0.66500000000000004</v>
      </c>
      <c r="F19" s="14">
        <v>7.0000000000000001E-3</v>
      </c>
      <c r="G19" s="14">
        <v>0</v>
      </c>
      <c r="H19" s="13">
        <v>4255</v>
      </c>
      <c r="I19" s="13">
        <v>2863</v>
      </c>
      <c r="J19" t="s">
        <v>30</v>
      </c>
    </row>
    <row r="20" spans="1:10" x14ac:dyDescent="0.3">
      <c r="A20" t="s">
        <v>87</v>
      </c>
      <c r="B20" t="s">
        <v>7</v>
      </c>
      <c r="C20" s="14">
        <v>4.4999999999999998E-2</v>
      </c>
      <c r="D20" s="14">
        <v>0.37</v>
      </c>
      <c r="E20" s="14">
        <v>0.41299999999999998</v>
      </c>
      <c r="F20" s="14">
        <v>0.17499999999999999</v>
      </c>
      <c r="G20" s="14">
        <v>0</v>
      </c>
      <c r="H20" s="13">
        <v>4223</v>
      </c>
      <c r="I20" s="13">
        <v>2482</v>
      </c>
      <c r="J20" t="s">
        <v>30</v>
      </c>
    </row>
    <row r="21" spans="1:10" x14ac:dyDescent="0.3">
      <c r="A21" t="s">
        <v>87</v>
      </c>
      <c r="B21" t="s">
        <v>31</v>
      </c>
      <c r="C21" s="14">
        <v>1.0999999999999999E-2</v>
      </c>
      <c r="D21" s="14">
        <v>0.35</v>
      </c>
      <c r="E21" s="14">
        <v>0.63700000000000001</v>
      </c>
      <c r="F21" s="14">
        <v>5.0000000000000001E-3</v>
      </c>
      <c r="G21" s="14">
        <v>0</v>
      </c>
      <c r="H21" s="13">
        <v>3088</v>
      </c>
      <c r="I21" s="13">
        <v>1983</v>
      </c>
      <c r="J21" t="s">
        <v>30</v>
      </c>
    </row>
    <row r="22" spans="1:10" x14ac:dyDescent="0.3">
      <c r="A22" t="s">
        <v>87</v>
      </c>
      <c r="B22" t="s">
        <v>9</v>
      </c>
      <c r="C22" s="14">
        <v>2.9000000000000001E-2</v>
      </c>
      <c r="D22" s="14">
        <v>0.32</v>
      </c>
      <c r="E22" s="14">
        <v>0.52100000000000002</v>
      </c>
      <c r="F22" s="14">
        <v>0.13500000000000001</v>
      </c>
      <c r="G22" s="14">
        <v>0</v>
      </c>
      <c r="H22" s="13">
        <v>2655</v>
      </c>
      <c r="I22" s="13">
        <v>1740</v>
      </c>
      <c r="J22" t="s">
        <v>30</v>
      </c>
    </row>
    <row r="23" spans="1:10" x14ac:dyDescent="0.3">
      <c r="A23" t="s">
        <v>10</v>
      </c>
      <c r="B23" t="s">
        <v>30</v>
      </c>
      <c r="C23" s="14">
        <v>8.9999999999999993E-3</v>
      </c>
      <c r="D23" s="14">
        <v>0.31</v>
      </c>
      <c r="E23" s="14">
        <v>0.58899999999999997</v>
      </c>
      <c r="F23" s="14">
        <v>8.8999999999999996E-2</v>
      </c>
      <c r="G23" s="14">
        <v>0</v>
      </c>
      <c r="H23" s="13">
        <v>505344</v>
      </c>
      <c r="I23" s="13">
        <v>342855</v>
      </c>
      <c r="J23" t="s">
        <v>30</v>
      </c>
    </row>
    <row r="24" spans="1:10" x14ac:dyDescent="0.3">
      <c r="A24" t="s">
        <v>10</v>
      </c>
      <c r="B24" t="s">
        <v>1</v>
      </c>
      <c r="C24" s="14">
        <v>7.4999999999999997E-2</v>
      </c>
      <c r="D24" s="14">
        <v>0.5</v>
      </c>
      <c r="E24" s="14">
        <v>0.36299999999999999</v>
      </c>
      <c r="F24" s="14">
        <v>5.8000000000000003E-2</v>
      </c>
      <c r="G24" s="14">
        <v>0</v>
      </c>
      <c r="H24" s="13">
        <v>287607</v>
      </c>
      <c r="I24" s="13">
        <v>121326</v>
      </c>
      <c r="J24" t="s">
        <v>1</v>
      </c>
    </row>
    <row r="25" spans="1:10" x14ac:dyDescent="0.3">
      <c r="A25" t="s">
        <v>8</v>
      </c>
      <c r="B25" t="s">
        <v>30</v>
      </c>
      <c r="C25" s="14">
        <v>2.3E-2</v>
      </c>
      <c r="D25" s="14">
        <v>0.36</v>
      </c>
      <c r="E25" s="14">
        <v>0.50700000000000001</v>
      </c>
      <c r="F25" s="14">
        <v>0.11</v>
      </c>
      <c r="G25" s="14">
        <v>0</v>
      </c>
      <c r="H25" s="13">
        <v>971362</v>
      </c>
      <c r="I25" s="13">
        <v>599702</v>
      </c>
      <c r="J25" t="s">
        <v>30</v>
      </c>
    </row>
    <row r="26" spans="1:10" x14ac:dyDescent="0.3">
      <c r="A26" t="s">
        <v>8</v>
      </c>
      <c r="B26" t="s">
        <v>1</v>
      </c>
      <c r="C26" s="14">
        <v>0.05</v>
      </c>
      <c r="D26" s="14">
        <v>0.64</v>
      </c>
      <c r="E26" s="14">
        <v>0.30599999999999999</v>
      </c>
      <c r="F26" s="14">
        <v>5.0000000000000001E-3</v>
      </c>
      <c r="G26" s="14">
        <v>0</v>
      </c>
      <c r="H26" s="13">
        <v>561058</v>
      </c>
      <c r="I26" s="13">
        <v>342855</v>
      </c>
      <c r="J26" t="s">
        <v>1</v>
      </c>
    </row>
    <row r="27" spans="1:10" x14ac:dyDescent="0.3">
      <c r="A27" t="s">
        <v>8</v>
      </c>
      <c r="B27" t="s">
        <v>4</v>
      </c>
      <c r="C27" s="14">
        <v>0.04</v>
      </c>
      <c r="D27" s="14">
        <v>0.44</v>
      </c>
      <c r="E27" s="14">
        <v>0.52</v>
      </c>
      <c r="F27" s="14">
        <v>0</v>
      </c>
      <c r="G27" s="14">
        <v>0</v>
      </c>
      <c r="H27" s="13">
        <v>7920</v>
      </c>
      <c r="I27" s="13">
        <v>4118</v>
      </c>
      <c r="J27" t="s">
        <v>1</v>
      </c>
    </row>
    <row r="28" spans="1:10" x14ac:dyDescent="0.3">
      <c r="A28" t="s">
        <v>88</v>
      </c>
      <c r="B28" t="s">
        <v>3</v>
      </c>
      <c r="C28" s="14">
        <v>2.3E-2</v>
      </c>
      <c r="D28" s="14">
        <v>0.34</v>
      </c>
      <c r="E28" s="14">
        <v>0.57899999999999996</v>
      </c>
      <c r="F28" s="14">
        <v>5.5E-2</v>
      </c>
      <c r="G28" s="14">
        <v>0</v>
      </c>
      <c r="H28" s="13">
        <v>36412</v>
      </c>
      <c r="I28" s="13">
        <v>23113</v>
      </c>
      <c r="J28" t="s">
        <v>30</v>
      </c>
    </row>
    <row r="29" spans="1:10" x14ac:dyDescent="0.3">
      <c r="A29" t="s">
        <v>88</v>
      </c>
      <c r="B29" t="s">
        <v>7</v>
      </c>
      <c r="C29" s="14">
        <v>2.5000000000000001E-2</v>
      </c>
      <c r="D29" s="14">
        <v>0.11</v>
      </c>
      <c r="E29" s="14">
        <v>0.51200000000000001</v>
      </c>
      <c r="F29" s="14">
        <v>0.34599999999999997</v>
      </c>
      <c r="G29" s="14">
        <v>0.01</v>
      </c>
      <c r="H29" s="13">
        <v>21114</v>
      </c>
      <c r="I29" s="13">
        <v>18230</v>
      </c>
      <c r="J29" t="s">
        <v>30</v>
      </c>
    </row>
    <row r="30" spans="1:10" x14ac:dyDescent="0.3">
      <c r="A30" t="s">
        <v>88</v>
      </c>
      <c r="B30" t="s">
        <v>5</v>
      </c>
      <c r="C30" s="14">
        <v>0</v>
      </c>
      <c r="D30" s="14">
        <v>0.24</v>
      </c>
      <c r="E30" s="14">
        <v>0.65700000000000003</v>
      </c>
      <c r="F30" s="14">
        <v>9.8000000000000004E-2</v>
      </c>
      <c r="G30" s="14">
        <v>0</v>
      </c>
      <c r="H30" s="13">
        <v>21277</v>
      </c>
      <c r="I30" s="13">
        <v>16065</v>
      </c>
      <c r="J30" t="s">
        <v>30</v>
      </c>
    </row>
    <row r="31" spans="1:10" x14ac:dyDescent="0.3">
      <c r="A31" t="s">
        <v>88</v>
      </c>
      <c r="B31" t="s">
        <v>31</v>
      </c>
      <c r="C31" s="14">
        <v>0</v>
      </c>
      <c r="D31" s="14">
        <v>0.22</v>
      </c>
      <c r="E31" s="14">
        <v>0.62</v>
      </c>
      <c r="F31" s="14">
        <v>0.156</v>
      </c>
      <c r="G31" s="14">
        <v>0</v>
      </c>
      <c r="H31" s="13">
        <v>15438</v>
      </c>
      <c r="I31" s="13">
        <v>11980</v>
      </c>
      <c r="J31" t="s">
        <v>30</v>
      </c>
    </row>
    <row r="32" spans="1:10" x14ac:dyDescent="0.3">
      <c r="A32" t="s">
        <v>88</v>
      </c>
      <c r="B32" t="s">
        <v>9</v>
      </c>
      <c r="C32" s="14">
        <v>0</v>
      </c>
      <c r="D32" s="14">
        <v>0.17</v>
      </c>
      <c r="E32" s="14">
        <v>0.61699999999999999</v>
      </c>
      <c r="F32" s="14">
        <v>0.215</v>
      </c>
      <c r="G32" s="14">
        <v>0</v>
      </c>
      <c r="H32" s="13">
        <v>13275</v>
      </c>
      <c r="I32" s="13">
        <v>11040</v>
      </c>
      <c r="J32" t="s">
        <v>30</v>
      </c>
    </row>
    <row r="33" spans="1:10" x14ac:dyDescent="0.3">
      <c r="C33" s="15"/>
      <c r="D33" s="14"/>
      <c r="E33" s="15"/>
      <c r="F33" s="15"/>
      <c r="G33" s="14"/>
      <c r="H33" s="13"/>
      <c r="I33" s="13"/>
    </row>
    <row r="34" spans="1:10" x14ac:dyDescent="0.3">
      <c r="A34" s="12" t="s">
        <v>80</v>
      </c>
      <c r="B34" s="12" t="s">
        <v>81</v>
      </c>
      <c r="C34" s="12" t="s">
        <v>82</v>
      </c>
      <c r="D34" s="12" t="s">
        <v>22</v>
      </c>
      <c r="E34" s="12" t="s">
        <v>23</v>
      </c>
      <c r="F34" s="12" t="s">
        <v>24</v>
      </c>
      <c r="G34" s="12" t="s">
        <v>25</v>
      </c>
      <c r="H34" s="12" t="s">
        <v>83</v>
      </c>
      <c r="I34" s="12" t="s">
        <v>29</v>
      </c>
      <c r="J34" s="12" t="s">
        <v>19</v>
      </c>
    </row>
    <row r="35" spans="1:10" x14ac:dyDescent="0.3">
      <c r="A35" s="8" t="s">
        <v>89</v>
      </c>
      <c r="B35" s="8" t="s">
        <v>32</v>
      </c>
      <c r="C35" s="11">
        <v>8.6999999999999994E-2</v>
      </c>
      <c r="D35" s="10">
        <v>0.66</v>
      </c>
      <c r="E35" s="11">
        <v>0.24299999999999999</v>
      </c>
      <c r="F35" s="11">
        <v>1.4999999999999999E-2</v>
      </c>
      <c r="G35" s="10">
        <v>0</v>
      </c>
      <c r="H35" s="9">
        <v>2390043</v>
      </c>
      <c r="I35" s="9">
        <v>614825</v>
      </c>
      <c r="J35" s="8" t="s">
        <v>1</v>
      </c>
    </row>
    <row r="36" spans="1:10" x14ac:dyDescent="0.3">
      <c r="A36" s="8" t="s">
        <v>89</v>
      </c>
      <c r="B36" s="8" t="s">
        <v>3</v>
      </c>
      <c r="C36" s="11">
        <v>6.2E-2</v>
      </c>
      <c r="D36" s="10">
        <v>0.4</v>
      </c>
      <c r="E36" s="11">
        <v>0.45500000000000002</v>
      </c>
      <c r="F36" s="11">
        <v>8.3000000000000004E-2</v>
      </c>
      <c r="G36" s="10">
        <v>0</v>
      </c>
      <c r="H36" s="9">
        <v>728248</v>
      </c>
      <c r="I36" s="9">
        <v>391813</v>
      </c>
      <c r="J36" s="8" t="s">
        <v>30</v>
      </c>
    </row>
    <row r="37" spans="1:10" x14ac:dyDescent="0.3">
      <c r="A37" s="8" t="s">
        <v>89</v>
      </c>
      <c r="B37" s="8" t="s">
        <v>7</v>
      </c>
      <c r="C37" s="11">
        <v>1.4E-2</v>
      </c>
      <c r="D37" s="10">
        <v>0.3</v>
      </c>
      <c r="E37" s="11">
        <v>0.54400000000000004</v>
      </c>
      <c r="F37" s="11">
        <v>0.14399999999999999</v>
      </c>
      <c r="G37" s="10">
        <v>0</v>
      </c>
      <c r="H37" s="9">
        <v>422286</v>
      </c>
      <c r="I37" s="9">
        <v>290971</v>
      </c>
      <c r="J37" s="8" t="s">
        <v>30</v>
      </c>
    </row>
    <row r="38" spans="1:10" x14ac:dyDescent="0.3">
      <c r="A38" s="8" t="s">
        <v>89</v>
      </c>
      <c r="B38" s="8" t="s">
        <v>5</v>
      </c>
      <c r="C38" s="11">
        <v>7.0000000000000001E-3</v>
      </c>
      <c r="D38" s="10">
        <v>0.36</v>
      </c>
      <c r="E38" s="11">
        <v>0.55800000000000005</v>
      </c>
      <c r="F38" s="11">
        <v>7.5999999999999998E-2</v>
      </c>
      <c r="G38" s="10">
        <v>0</v>
      </c>
      <c r="H38" s="9">
        <v>425530</v>
      </c>
      <c r="I38" s="9">
        <v>269515</v>
      </c>
      <c r="J38" s="8" t="s">
        <v>30</v>
      </c>
    </row>
    <row r="39" spans="1:10" x14ac:dyDescent="0.3">
      <c r="A39" s="8" t="s">
        <v>89</v>
      </c>
      <c r="B39" s="8" t="s">
        <v>31</v>
      </c>
      <c r="C39" s="11">
        <v>0.01</v>
      </c>
      <c r="D39" s="10">
        <v>0.35</v>
      </c>
      <c r="E39" s="11">
        <v>0.56100000000000005</v>
      </c>
      <c r="F39" s="11">
        <v>7.8E-2</v>
      </c>
      <c r="G39" s="10">
        <v>0</v>
      </c>
      <c r="H39" s="9">
        <v>308765</v>
      </c>
      <c r="I39" s="9">
        <v>197355</v>
      </c>
      <c r="J39" s="8" t="s">
        <v>30</v>
      </c>
    </row>
    <row r="40" spans="1:10" x14ac:dyDescent="0.3">
      <c r="A40" s="8" t="s">
        <v>89</v>
      </c>
      <c r="B40" s="8" t="s">
        <v>9</v>
      </c>
      <c r="C40" s="11">
        <v>1.2E-2</v>
      </c>
      <c r="D40" s="10">
        <v>0.32</v>
      </c>
      <c r="E40" s="11">
        <v>0.53700000000000003</v>
      </c>
      <c r="F40" s="11">
        <v>0.13500000000000001</v>
      </c>
      <c r="G40" s="10">
        <v>0</v>
      </c>
      <c r="H40" s="9">
        <v>265498</v>
      </c>
      <c r="I40" s="9">
        <v>178467</v>
      </c>
      <c r="J40" s="8" t="s">
        <v>30</v>
      </c>
    </row>
    <row r="41" spans="1:10" x14ac:dyDescent="0.3">
      <c r="A41" s="8" t="s">
        <v>89</v>
      </c>
      <c r="B41" s="8" t="s">
        <v>2</v>
      </c>
      <c r="C41" s="11">
        <v>8.2000000000000003E-2</v>
      </c>
      <c r="D41" s="10">
        <v>0.62</v>
      </c>
      <c r="E41" s="11">
        <v>0.27100000000000002</v>
      </c>
      <c r="F41" s="11">
        <v>3.1E-2</v>
      </c>
      <c r="G41" s="10">
        <v>0</v>
      </c>
      <c r="H41" s="9">
        <v>369489</v>
      </c>
      <c r="I41" s="9">
        <v>111482</v>
      </c>
      <c r="J41" s="8" t="s">
        <v>1</v>
      </c>
    </row>
    <row r="42" spans="1:10" x14ac:dyDescent="0.3">
      <c r="A42" s="8" t="s">
        <v>89</v>
      </c>
      <c r="B42" s="8" t="s">
        <v>4</v>
      </c>
      <c r="C42" s="11">
        <v>0.105</v>
      </c>
      <c r="D42" s="10">
        <v>0.62</v>
      </c>
      <c r="E42" s="11">
        <v>0.27100000000000002</v>
      </c>
      <c r="F42" s="11">
        <v>5.0000000000000001E-3</v>
      </c>
      <c r="G42" s="10">
        <v>0</v>
      </c>
      <c r="H42" s="9">
        <v>43731</v>
      </c>
      <c r="I42" s="9">
        <v>12078</v>
      </c>
      <c r="J42" s="8" t="s">
        <v>1</v>
      </c>
    </row>
    <row r="43" spans="1:10" x14ac:dyDescent="0.3">
      <c r="A43" s="8" t="s">
        <v>89</v>
      </c>
      <c r="B43" s="8" t="s">
        <v>33</v>
      </c>
      <c r="C43" s="11">
        <v>0.68</v>
      </c>
      <c r="D43" s="10">
        <v>0.3</v>
      </c>
      <c r="E43" s="11">
        <v>2.4E-2</v>
      </c>
      <c r="F43" s="11">
        <v>0</v>
      </c>
      <c r="G43" s="10">
        <v>0</v>
      </c>
      <c r="H43" s="9">
        <v>381737</v>
      </c>
      <c r="I43" s="9">
        <v>9035</v>
      </c>
      <c r="J43" s="8" t="s">
        <v>1</v>
      </c>
    </row>
  </sheetData>
  <conditionalFormatting sqref="E2:G33 E35:G43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{6248F7AE-94CA-48E8-A150-E4073B5F4F3D}</x14:id>
        </ext>
      </extLst>
    </cfRule>
  </conditionalFormatting>
  <conditionalFormatting sqref="I2:I33 I35:I4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max"/>
        <color rgb="FFFCFCFF"/>
        <color rgb="FFF8696B"/>
      </colorScale>
    </cfRule>
  </conditionalFormatting>
  <conditionalFormatting sqref="N2:O2 N3 N4:O9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{0071587B-1D6F-4C4E-9FF7-43247FB15E87}</x14:id>
        </ext>
      </extLst>
    </cfRule>
  </conditionalFormatting>
  <conditionalFormatting sqref="O2:O9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{04624689-D94F-4802-94F2-1B86AF080E56}</x14:id>
        </ext>
      </extLst>
    </cfRule>
  </conditionalFormatting>
  <conditionalFormatting sqref="N2:O9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{A8BC457D-76E3-44B4-B997-32A2E77AF865}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248F7AE-94CA-48E8-A150-E4073B5F4F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E2:G33 E35:G43</xm:sqref>
        </x14:conditionalFormatting>
        <x14:conditionalFormatting xmlns:xm="http://schemas.microsoft.com/office/excel/2006/main">
          <x14:cfRule type="dataBar" id="{0071587B-1D6F-4C4E-9FF7-43247FB15E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N2:O2 N3 N4:O9</xm:sqref>
        </x14:conditionalFormatting>
        <x14:conditionalFormatting xmlns:xm="http://schemas.microsoft.com/office/excel/2006/main">
          <x14:cfRule type="dataBar" id="{04624689-D94F-4802-94F2-1B86AF080E5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O2:O9</xm:sqref>
        </x14:conditionalFormatting>
        <x14:conditionalFormatting xmlns:xm="http://schemas.microsoft.com/office/excel/2006/main">
          <x14:cfRule type="dataBar" id="{A8BC457D-76E3-44B4-B997-32A2E77AF8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N2:O9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E2DC5-F263-4BA1-9661-CDE95DC70D6F}">
  <dimension ref="A1:I11"/>
  <sheetViews>
    <sheetView workbookViewId="0">
      <selection activeCell="C18" sqref="C18"/>
    </sheetView>
  </sheetViews>
  <sheetFormatPr defaultRowHeight="14.4" x14ac:dyDescent="0.3"/>
  <cols>
    <col min="1" max="1" width="10" bestFit="1" customWidth="1"/>
    <col min="2" max="2" width="13.6640625" bestFit="1" customWidth="1"/>
    <col min="3" max="3" width="9" bestFit="1" customWidth="1"/>
    <col min="4" max="4" width="11.109375" bestFit="1" customWidth="1"/>
    <col min="5" max="5" width="10.33203125" customWidth="1"/>
    <col min="6" max="6" width="12.33203125" bestFit="1" customWidth="1"/>
    <col min="7" max="7" width="9" bestFit="1" customWidth="1"/>
    <col min="8" max="8" width="11.109375" bestFit="1" customWidth="1"/>
    <col min="9" max="9" width="14" customWidth="1"/>
  </cols>
  <sheetData>
    <row r="1" spans="1:9" ht="15" thickBot="1" x14ac:dyDescent="0.35">
      <c r="A1" s="16" t="s">
        <v>19</v>
      </c>
      <c r="B1" s="17" t="s">
        <v>81</v>
      </c>
      <c r="C1" s="17" t="s">
        <v>90</v>
      </c>
      <c r="D1" s="17" t="s">
        <v>91</v>
      </c>
      <c r="E1" s="17" t="s">
        <v>92</v>
      </c>
      <c r="F1" s="17" t="s">
        <v>93</v>
      </c>
      <c r="G1" s="17" t="s">
        <v>94</v>
      </c>
      <c r="H1" s="17" t="s">
        <v>95</v>
      </c>
      <c r="I1" s="19" t="s">
        <v>6</v>
      </c>
    </row>
    <row r="2" spans="1:9" x14ac:dyDescent="0.3">
      <c r="A2" s="20" t="s">
        <v>1</v>
      </c>
      <c r="B2" s="74" t="s">
        <v>4</v>
      </c>
      <c r="C2" s="22">
        <v>2772</v>
      </c>
      <c r="D2" s="22">
        <v>2663</v>
      </c>
      <c r="E2" s="22">
        <v>3203</v>
      </c>
      <c r="F2" s="22">
        <v>3077</v>
      </c>
      <c r="G2" s="21">
        <v>185</v>
      </c>
      <c r="H2" s="21">
        <v>178</v>
      </c>
      <c r="I2" s="27">
        <v>12078</v>
      </c>
    </row>
    <row r="3" spans="1:9" x14ac:dyDescent="0.3">
      <c r="A3" s="28" t="s">
        <v>1</v>
      </c>
      <c r="B3" s="8" t="s">
        <v>33</v>
      </c>
      <c r="C3" s="13">
        <v>2074</v>
      </c>
      <c r="D3" s="13">
        <v>1992</v>
      </c>
      <c r="E3" s="13">
        <v>2396</v>
      </c>
      <c r="F3" s="13">
        <v>2302</v>
      </c>
      <c r="G3">
        <v>138</v>
      </c>
      <c r="H3">
        <v>133</v>
      </c>
      <c r="I3" s="31">
        <v>9035</v>
      </c>
    </row>
    <row r="4" spans="1:9" x14ac:dyDescent="0.3">
      <c r="A4" s="28" t="s">
        <v>1</v>
      </c>
      <c r="B4" s="8" t="s">
        <v>2</v>
      </c>
      <c r="C4" s="13">
        <v>25585</v>
      </c>
      <c r="D4" s="13">
        <v>24582</v>
      </c>
      <c r="E4" s="13">
        <v>29565</v>
      </c>
      <c r="F4" s="13">
        <v>28406</v>
      </c>
      <c r="G4" s="13">
        <v>1706</v>
      </c>
      <c r="H4" s="13">
        <v>1639</v>
      </c>
      <c r="I4" s="31">
        <v>111483</v>
      </c>
    </row>
    <row r="5" spans="1:9" x14ac:dyDescent="0.3">
      <c r="A5" s="28" t="s">
        <v>1</v>
      </c>
      <c r="B5" s="8" t="s">
        <v>32</v>
      </c>
      <c r="C5" s="13">
        <v>141102</v>
      </c>
      <c r="D5" s="13">
        <v>135569</v>
      </c>
      <c r="E5" s="13">
        <v>163051</v>
      </c>
      <c r="F5" s="13">
        <v>156657</v>
      </c>
      <c r="G5" s="13">
        <v>9407</v>
      </c>
      <c r="H5" s="13">
        <v>9038</v>
      </c>
      <c r="I5" s="31">
        <v>614824</v>
      </c>
    </row>
    <row r="6" spans="1:9" x14ac:dyDescent="0.3">
      <c r="A6" s="28" t="s">
        <v>30</v>
      </c>
      <c r="B6" s="8" t="s">
        <v>9</v>
      </c>
      <c r="C6" s="13">
        <v>40958</v>
      </c>
      <c r="D6" s="13">
        <v>39352</v>
      </c>
      <c r="E6" s="13">
        <v>47329</v>
      </c>
      <c r="F6" s="13">
        <v>45473</v>
      </c>
      <c r="G6" s="13">
        <v>2731</v>
      </c>
      <c r="H6" s="13">
        <v>2623</v>
      </c>
      <c r="I6" s="31">
        <v>178466</v>
      </c>
    </row>
    <row r="7" spans="1:9" x14ac:dyDescent="0.3">
      <c r="A7" s="28" t="s">
        <v>30</v>
      </c>
      <c r="B7" s="8" t="s">
        <v>5</v>
      </c>
      <c r="C7" s="13">
        <v>61854</v>
      </c>
      <c r="D7" s="13">
        <v>59428</v>
      </c>
      <c r="E7" s="13">
        <v>71475</v>
      </c>
      <c r="F7" s="13">
        <v>68672</v>
      </c>
      <c r="G7" s="13">
        <v>4124</v>
      </c>
      <c r="H7" s="13">
        <v>3962</v>
      </c>
      <c r="I7" s="31">
        <v>269515</v>
      </c>
    </row>
    <row r="8" spans="1:9" x14ac:dyDescent="0.3">
      <c r="A8" s="28" t="s">
        <v>30</v>
      </c>
      <c r="B8" s="8" t="s">
        <v>7</v>
      </c>
      <c r="C8" s="13">
        <v>66778</v>
      </c>
      <c r="D8" s="13">
        <v>64159</v>
      </c>
      <c r="E8" s="13">
        <v>77166</v>
      </c>
      <c r="F8" s="13">
        <v>74139</v>
      </c>
      <c r="G8" s="13">
        <v>4452</v>
      </c>
      <c r="H8" s="13">
        <v>4277</v>
      </c>
      <c r="I8" s="31">
        <v>290971</v>
      </c>
    </row>
    <row r="9" spans="1:9" x14ac:dyDescent="0.3">
      <c r="A9" s="28" t="s">
        <v>30</v>
      </c>
      <c r="B9" s="8" t="s">
        <v>3</v>
      </c>
      <c r="C9" s="13">
        <v>89921</v>
      </c>
      <c r="D9" s="13">
        <v>86395</v>
      </c>
      <c r="E9" s="13">
        <v>103909</v>
      </c>
      <c r="F9" s="13">
        <v>99834</v>
      </c>
      <c r="G9" s="13">
        <v>5995</v>
      </c>
      <c r="H9" s="13">
        <v>5760</v>
      </c>
      <c r="I9" s="31">
        <v>391814</v>
      </c>
    </row>
    <row r="10" spans="1:9" ht="15" thickBot="1" x14ac:dyDescent="0.35">
      <c r="A10" s="33" t="s">
        <v>30</v>
      </c>
      <c r="B10" s="75" t="s">
        <v>31</v>
      </c>
      <c r="C10" s="35">
        <v>45293</v>
      </c>
      <c r="D10" s="35">
        <v>43517</v>
      </c>
      <c r="E10" s="35">
        <v>52339</v>
      </c>
      <c r="F10" s="35">
        <v>50286</v>
      </c>
      <c r="G10" s="35">
        <v>3020</v>
      </c>
      <c r="H10" s="35">
        <v>2901</v>
      </c>
      <c r="I10" s="40">
        <v>197356</v>
      </c>
    </row>
    <row r="11" spans="1:9" ht="15" thickBot="1" x14ac:dyDescent="0.35">
      <c r="A11" s="16"/>
      <c r="B11" s="17" t="s">
        <v>6</v>
      </c>
      <c r="C11" s="59">
        <v>476337</v>
      </c>
      <c r="D11" s="59">
        <v>457657</v>
      </c>
      <c r="E11" s="59">
        <v>550433</v>
      </c>
      <c r="F11" s="59">
        <v>528846</v>
      </c>
      <c r="G11" s="59">
        <v>31758</v>
      </c>
      <c r="H11" s="59">
        <v>30511</v>
      </c>
      <c r="I11" s="60">
        <v>2075542</v>
      </c>
    </row>
  </sheetData>
  <conditionalFormatting sqref="C2:H10">
    <cfRule type="colorScale" priority="2">
      <colorScale>
        <cfvo type="min"/>
        <cfvo type="max"/>
        <color rgb="FFFCFCFF"/>
        <color rgb="FFF8696B"/>
      </colorScale>
    </cfRule>
  </conditionalFormatting>
  <conditionalFormatting sqref="I2:I1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{19FEEB4F-EC04-49D2-A7F6-61FBB4444F12}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FEEB4F-EC04-49D2-A7F6-61FBB4444F1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I2:I10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675E-1CDF-448B-AC7B-B1BBCA4977F0}">
  <sheetPr>
    <tabColor rgb="FFFFC000"/>
  </sheetPr>
  <dimension ref="A1:Z73"/>
  <sheetViews>
    <sheetView tabSelected="1" topLeftCell="A12" zoomScale="60" zoomScaleNormal="60" workbookViewId="0">
      <selection activeCell="A42" sqref="A42:XFD49"/>
    </sheetView>
  </sheetViews>
  <sheetFormatPr defaultColWidth="8.88671875" defaultRowHeight="13.8" x14ac:dyDescent="0.25"/>
  <cols>
    <col min="1" max="1" width="28.5546875" style="83" customWidth="1"/>
    <col min="2" max="2" width="21.6640625" style="83" customWidth="1"/>
    <col min="3" max="3" width="18.88671875" style="83" customWidth="1"/>
    <col min="4" max="4" width="19.5546875" style="83" customWidth="1"/>
    <col min="5" max="5" width="23.33203125" style="83" customWidth="1"/>
    <col min="6" max="6" width="16.88671875" style="83" customWidth="1"/>
    <col min="7" max="7" width="18.88671875" style="83" customWidth="1"/>
    <col min="8" max="8" width="18.33203125" style="83" customWidth="1"/>
    <col min="9" max="9" width="15.5546875" style="83" customWidth="1"/>
    <col min="10" max="10" width="19.44140625" style="83" bestFit="1" customWidth="1"/>
    <col min="11" max="11" width="15.109375" style="83" customWidth="1"/>
    <col min="12" max="12" width="15.33203125" style="83" customWidth="1"/>
    <col min="13" max="13" width="11.88671875" style="83" customWidth="1"/>
    <col min="14" max="14" width="16.88671875" style="83" customWidth="1"/>
    <col min="15" max="15" width="16.33203125" style="83" bestFit="1" customWidth="1"/>
    <col min="16" max="16" width="17.109375" style="83" bestFit="1" customWidth="1"/>
    <col min="17" max="26" width="17.109375" style="83" customWidth="1"/>
    <col min="27" max="16384" width="8.88671875" style="83"/>
  </cols>
  <sheetData>
    <row r="1" spans="1:16" ht="34.799999999999997" x14ac:dyDescent="0.55000000000000004">
      <c r="A1" s="82" t="s">
        <v>96</v>
      </c>
    </row>
    <row r="2" spans="1:16" ht="17.399999999999999" x14ac:dyDescent="0.3">
      <c r="A2" s="84" t="s">
        <v>97</v>
      </c>
      <c r="B2" s="85"/>
      <c r="C2" s="85"/>
      <c r="D2" s="85"/>
      <c r="E2" s="85"/>
      <c r="F2" s="85"/>
      <c r="G2" s="85"/>
    </row>
    <row r="4" spans="1:16" ht="24.6" x14ac:dyDescent="0.4">
      <c r="A4" s="137" t="s">
        <v>98</v>
      </c>
      <c r="B4" s="135"/>
      <c r="C4" s="135"/>
      <c r="D4" s="135"/>
      <c r="E4" s="135"/>
    </row>
    <row r="5" spans="1:16" ht="18" x14ac:dyDescent="0.25">
      <c r="A5" s="136" t="s">
        <v>99</v>
      </c>
      <c r="B5" s="136" t="s">
        <v>100</v>
      </c>
      <c r="C5" s="136" t="s">
        <v>101</v>
      </c>
      <c r="D5" s="136" t="s">
        <v>102</v>
      </c>
      <c r="E5" s="136" t="s">
        <v>103</v>
      </c>
    </row>
    <row r="6" spans="1:16" ht="22.2" customHeight="1" x14ac:dyDescent="0.25">
      <c r="A6" s="88" t="s">
        <v>37</v>
      </c>
      <c r="B6" s="89">
        <v>1971819</v>
      </c>
      <c r="C6" s="89">
        <v>1852211</v>
      </c>
      <c r="D6" s="90">
        <v>2120959</v>
      </c>
      <c r="E6" s="89">
        <v>1818888</v>
      </c>
    </row>
    <row r="7" spans="1:16" ht="18" x14ac:dyDescent="0.25">
      <c r="A7" s="88" t="s">
        <v>104</v>
      </c>
      <c r="B7" s="89">
        <v>1163618</v>
      </c>
      <c r="C7" s="89">
        <v>1328552</v>
      </c>
      <c r="D7" s="91">
        <v>1446834</v>
      </c>
      <c r="E7" s="89">
        <v>1500000</v>
      </c>
    </row>
    <row r="8" spans="1:16" ht="18" x14ac:dyDescent="0.25">
      <c r="A8" s="88" t="s">
        <v>38</v>
      </c>
      <c r="B8" s="89">
        <v>1900635</v>
      </c>
      <c r="C8" s="89">
        <v>1810659</v>
      </c>
      <c r="D8" s="90">
        <v>1618888.81894745</v>
      </c>
      <c r="E8" s="89">
        <v>1362382.5611657531</v>
      </c>
    </row>
    <row r="9" spans="1:16" ht="18" x14ac:dyDescent="0.3">
      <c r="A9" s="88" t="s">
        <v>105</v>
      </c>
      <c r="B9" s="89">
        <v>1700000</v>
      </c>
      <c r="C9" s="89">
        <v>1683000</v>
      </c>
      <c r="D9" s="92">
        <v>2022664</v>
      </c>
      <c r="E9" s="89">
        <v>1558143.7632101311</v>
      </c>
    </row>
    <row r="10" spans="1:16" ht="16.5" customHeight="1" x14ac:dyDescent="0.25">
      <c r="A10" s="88" t="s">
        <v>106</v>
      </c>
      <c r="B10" s="89">
        <v>304628</v>
      </c>
      <c r="C10" s="89">
        <v>307090</v>
      </c>
      <c r="D10" s="90">
        <v>432940</v>
      </c>
      <c r="E10" s="89">
        <v>942717.42218641681</v>
      </c>
    </row>
    <row r="11" spans="1:16" ht="18" x14ac:dyDescent="0.25">
      <c r="A11" s="88" t="s">
        <v>107</v>
      </c>
      <c r="B11" s="89">
        <v>519258</v>
      </c>
      <c r="C11" s="89">
        <v>416017</v>
      </c>
      <c r="D11" s="90">
        <v>503926.25</v>
      </c>
      <c r="E11" s="89">
        <v>574011</v>
      </c>
    </row>
    <row r="12" spans="1:16" ht="28.2" customHeight="1" x14ac:dyDescent="0.25">
      <c r="A12" s="138" t="s">
        <v>108</v>
      </c>
      <c r="B12" s="138" t="s">
        <v>109</v>
      </c>
      <c r="C12" s="138">
        <v>2419700</v>
      </c>
      <c r="D12" s="138">
        <v>2453626.79967885</v>
      </c>
      <c r="E12" s="138">
        <v>2075542</v>
      </c>
    </row>
    <row r="13" spans="1:16" ht="27.6" customHeight="1" x14ac:dyDescent="0.25">
      <c r="G13" s="95"/>
      <c r="H13" s="95"/>
    </row>
    <row r="14" spans="1:16" ht="22.5" customHeight="1" x14ac:dyDescent="0.25">
      <c r="G14" s="95"/>
    </row>
    <row r="15" spans="1:16" ht="22.5" customHeight="1" x14ac:dyDescent="0.4">
      <c r="A15" s="86" t="s">
        <v>110</v>
      </c>
      <c r="B15" s="86"/>
      <c r="C15" s="86"/>
      <c r="D15" s="86"/>
      <c r="E15" s="86"/>
    </row>
    <row r="16" spans="1:16" ht="33.6" customHeight="1" x14ac:dyDescent="0.25">
      <c r="A16" s="96" t="s">
        <v>99</v>
      </c>
      <c r="B16" s="87" t="s">
        <v>111</v>
      </c>
      <c r="C16" s="87" t="s">
        <v>112</v>
      </c>
      <c r="D16" s="87" t="s">
        <v>113</v>
      </c>
      <c r="E16" s="97" t="s">
        <v>82</v>
      </c>
      <c r="F16" s="98" t="s">
        <v>22</v>
      </c>
      <c r="G16" s="99" t="s">
        <v>23</v>
      </c>
      <c r="H16" s="100" t="s">
        <v>24</v>
      </c>
      <c r="I16" s="101" t="s">
        <v>25</v>
      </c>
      <c r="J16" s="87" t="s">
        <v>3</v>
      </c>
      <c r="K16" s="87" t="s">
        <v>2</v>
      </c>
      <c r="L16" s="87" t="s">
        <v>114</v>
      </c>
      <c r="M16" s="87" t="s">
        <v>115</v>
      </c>
      <c r="N16" s="87" t="s">
        <v>4</v>
      </c>
      <c r="O16" s="87" t="s">
        <v>30</v>
      </c>
      <c r="P16" s="87" t="s">
        <v>1</v>
      </c>
    </row>
    <row r="17" spans="1:26" ht="22.5" customHeight="1" x14ac:dyDescent="0.25">
      <c r="A17" s="88" t="s">
        <v>37</v>
      </c>
      <c r="B17" s="89">
        <v>771728</v>
      </c>
      <c r="C17" s="89">
        <v>1025584</v>
      </c>
      <c r="D17" s="102">
        <v>1212577</v>
      </c>
      <c r="E17" s="103">
        <v>730669.56764479354</v>
      </c>
      <c r="F17" s="104">
        <v>991741.89912305819</v>
      </c>
      <c r="G17" s="104">
        <v>281798.03407970793</v>
      </c>
      <c r="H17" s="105">
        <v>146117.49915244099</v>
      </c>
      <c r="I17" s="105">
        <v>0</v>
      </c>
      <c r="J17" s="106">
        <v>991741.89912305819</v>
      </c>
      <c r="K17" s="89">
        <v>281798.03407970793</v>
      </c>
      <c r="L17" s="89">
        <v>146117.49915244099</v>
      </c>
      <c r="M17" s="89">
        <v>54211.171597633162</v>
      </c>
      <c r="N17" s="89">
        <v>8746.1999999999989</v>
      </c>
      <c r="O17" s="139">
        <v>1188828</v>
      </c>
      <c r="P17" s="139">
        <v>630060</v>
      </c>
    </row>
    <row r="18" spans="1:26" ht="22.5" customHeight="1" x14ac:dyDescent="0.25">
      <c r="A18" s="88" t="s">
        <v>104</v>
      </c>
      <c r="B18" s="89">
        <v>705669</v>
      </c>
      <c r="C18" s="89">
        <v>794331</v>
      </c>
      <c r="D18" s="102"/>
      <c r="E18" s="104">
        <v>767132</v>
      </c>
      <c r="F18" s="104">
        <v>3068195</v>
      </c>
      <c r="G18" s="105">
        <v>1464959</v>
      </c>
      <c r="H18" s="105">
        <v>35041</v>
      </c>
      <c r="I18" s="105">
        <v>0</v>
      </c>
      <c r="J18" s="106">
        <v>1000000</v>
      </c>
      <c r="K18" s="89">
        <v>245258</v>
      </c>
      <c r="L18" s="89">
        <v>226333</v>
      </c>
      <c r="M18" s="89">
        <v>2320</v>
      </c>
      <c r="N18" s="89">
        <v>26089</v>
      </c>
      <c r="O18" s="139">
        <v>1000000</v>
      </c>
      <c r="P18" s="139">
        <v>500000</v>
      </c>
    </row>
    <row r="19" spans="1:26" ht="18" x14ac:dyDescent="0.25">
      <c r="A19" s="88" t="s">
        <v>38</v>
      </c>
      <c r="B19" s="89">
        <v>64211</v>
      </c>
      <c r="C19" s="89">
        <v>1095743</v>
      </c>
      <c r="D19" s="102">
        <v>1362382</v>
      </c>
      <c r="E19" s="104">
        <v>815512.08377964189</v>
      </c>
      <c r="F19" s="104">
        <v>3157432.8251407882</v>
      </c>
      <c r="G19" s="105">
        <v>842819.31856113113</v>
      </c>
      <c r="H19" s="105">
        <v>176862.64759433435</v>
      </c>
      <c r="I19" s="105">
        <v>342700.12492410402</v>
      </c>
      <c r="J19" s="106">
        <v>672037</v>
      </c>
      <c r="K19" s="89">
        <v>124909.74809197591</v>
      </c>
      <c r="L19" s="89">
        <v>533621.39396980416</v>
      </c>
      <c r="M19" s="89">
        <v>18070.390532544388</v>
      </c>
      <c r="N19" s="89">
        <v>13744.028571428571</v>
      </c>
      <c r="O19" s="139">
        <v>672037</v>
      </c>
      <c r="P19" s="139">
        <v>690345.56116575305</v>
      </c>
    </row>
    <row r="20" spans="1:26" ht="18" x14ac:dyDescent="0.25">
      <c r="A20" s="88" t="s">
        <v>105</v>
      </c>
      <c r="B20" s="107">
        <v>1090700.6342470916</v>
      </c>
      <c r="C20" s="107">
        <v>155814.37632101311</v>
      </c>
      <c r="D20" s="107">
        <v>311629</v>
      </c>
      <c r="E20" s="108">
        <v>0.54703584644275227</v>
      </c>
      <c r="F20" s="109">
        <v>0.16092131246185246</v>
      </c>
      <c r="G20" s="109">
        <v>0.19907583986407296</v>
      </c>
      <c r="H20" s="109">
        <v>8.3550399638511422E-2</v>
      </c>
      <c r="I20" s="109">
        <v>9.4166015928109394E-3</v>
      </c>
      <c r="J20" s="110">
        <v>1137139.6587502323</v>
      </c>
      <c r="K20" s="110">
        <v>49147.265035867684</v>
      </c>
      <c r="L20" s="110">
        <v>344231.38312134845</v>
      </c>
      <c r="M20" s="110">
        <v>24796.374017745795</v>
      </c>
      <c r="N20" s="110">
        <v>2829.0822849368292</v>
      </c>
      <c r="O20" s="139">
        <v>1137139.6587502323</v>
      </c>
      <c r="P20" s="140">
        <v>421004.10445989878</v>
      </c>
    </row>
    <row r="21" spans="1:26" ht="18" x14ac:dyDescent="0.25">
      <c r="A21" s="88" t="s">
        <v>106</v>
      </c>
      <c r="B21" s="89"/>
      <c r="C21" s="89">
        <v>942717.42218641681</v>
      </c>
      <c r="D21" s="102"/>
      <c r="E21" s="104" t="s">
        <v>116</v>
      </c>
      <c r="F21" s="104" t="s">
        <v>117</v>
      </c>
      <c r="G21" s="105" t="s">
        <v>118</v>
      </c>
      <c r="H21" s="105" t="s">
        <v>119</v>
      </c>
      <c r="I21" s="105" t="s">
        <v>120</v>
      </c>
      <c r="J21" s="106" t="s">
        <v>121</v>
      </c>
      <c r="K21" s="89" t="s">
        <v>122</v>
      </c>
      <c r="L21" s="89" t="s">
        <v>123</v>
      </c>
      <c r="M21" s="89" t="s">
        <v>124</v>
      </c>
      <c r="N21" s="89" t="s">
        <v>125</v>
      </c>
      <c r="O21" s="139" t="s">
        <v>121</v>
      </c>
      <c r="P21" s="139" t="s">
        <v>126</v>
      </c>
    </row>
    <row r="22" spans="1:26" ht="18" x14ac:dyDescent="0.25">
      <c r="A22" s="88" t="s">
        <v>107</v>
      </c>
      <c r="B22" s="89">
        <v>97581.921104698209</v>
      </c>
      <c r="C22" s="89">
        <v>258305.08527714232</v>
      </c>
      <c r="D22" s="102">
        <v>218124.29423403129</v>
      </c>
      <c r="E22" s="104">
        <v>0</v>
      </c>
      <c r="F22" s="104">
        <v>676821.44297387183</v>
      </c>
      <c r="G22" s="105">
        <v>508805.07331363205</v>
      </c>
      <c r="H22" s="105">
        <v>65206.227302239728</v>
      </c>
      <c r="I22" s="105">
        <v>0</v>
      </c>
      <c r="J22" s="106">
        <v>203027</v>
      </c>
      <c r="K22" s="89">
        <v>29773</v>
      </c>
      <c r="L22" s="89">
        <v>92902.61538461539</v>
      </c>
      <c r="M22" s="89">
        <v>10053</v>
      </c>
      <c r="N22" s="89">
        <v>13463.000000000002</v>
      </c>
      <c r="O22" s="139">
        <v>427819.68523125636</v>
      </c>
      <c r="P22" s="139">
        <v>146191.61538461538</v>
      </c>
    </row>
    <row r="23" spans="1:26" ht="14.4" x14ac:dyDescent="0.25">
      <c r="A23" s="111" t="s">
        <v>127</v>
      </c>
      <c r="B23" s="94"/>
      <c r="C23" s="94"/>
      <c r="D23" s="112"/>
      <c r="E23" s="94"/>
      <c r="F23" s="94"/>
      <c r="G23" s="94"/>
      <c r="H23" s="94"/>
      <c r="I23" s="94"/>
      <c r="J23" s="113"/>
      <c r="K23" s="94"/>
      <c r="L23" s="94"/>
      <c r="M23" s="94"/>
      <c r="N23" s="94"/>
      <c r="O23" s="94"/>
      <c r="P23" s="94"/>
    </row>
    <row r="24" spans="1:26" ht="14.4" x14ac:dyDescent="0.25">
      <c r="A24" s="114" t="s">
        <v>28</v>
      </c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</row>
    <row r="26" spans="1:26" ht="14.4" customHeight="1" x14ac:dyDescent="0.25"/>
    <row r="27" spans="1:26" ht="3" customHeight="1" x14ac:dyDescent="0.25"/>
    <row r="29" spans="1:26" x14ac:dyDescent="0.25">
      <c r="O29" s="116"/>
    </row>
    <row r="30" spans="1:26" ht="22.8" x14ac:dyDescent="0.4">
      <c r="A30" s="117" t="s">
        <v>128</v>
      </c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8" x14ac:dyDescent="0.25">
      <c r="A31" s="118" t="s">
        <v>99</v>
      </c>
      <c r="B31" s="146" t="s">
        <v>3</v>
      </c>
      <c r="C31" s="147"/>
      <c r="D31" s="147"/>
      <c r="E31" s="147"/>
      <c r="F31" s="148"/>
      <c r="G31" s="146" t="s">
        <v>2</v>
      </c>
      <c r="H31" s="147"/>
      <c r="I31" s="147"/>
      <c r="J31" s="147"/>
      <c r="K31" s="148"/>
      <c r="L31" s="146" t="s">
        <v>114</v>
      </c>
      <c r="M31" s="147"/>
      <c r="N31" s="147"/>
      <c r="O31" s="147"/>
      <c r="P31" s="148"/>
      <c r="Q31" s="149" t="s">
        <v>33</v>
      </c>
      <c r="R31" s="149"/>
      <c r="S31" s="149"/>
      <c r="T31" s="149"/>
      <c r="U31" s="149"/>
      <c r="V31" s="149" t="s">
        <v>4</v>
      </c>
      <c r="W31" s="149"/>
      <c r="X31" s="149"/>
      <c r="Y31" s="149"/>
      <c r="Z31" s="149"/>
    </row>
    <row r="32" spans="1:26" ht="14.4" x14ac:dyDescent="0.25">
      <c r="A32" s="93"/>
      <c r="B32" s="119" t="s">
        <v>82</v>
      </c>
      <c r="C32" s="120" t="s">
        <v>22</v>
      </c>
      <c r="D32" s="121" t="s">
        <v>23</v>
      </c>
      <c r="E32" s="122" t="s">
        <v>24</v>
      </c>
      <c r="F32" s="123" t="s">
        <v>25</v>
      </c>
      <c r="G32" s="119" t="s">
        <v>82</v>
      </c>
      <c r="H32" s="120" t="s">
        <v>22</v>
      </c>
      <c r="I32" s="121" t="s">
        <v>23</v>
      </c>
      <c r="J32" s="122" t="s">
        <v>24</v>
      </c>
      <c r="K32" s="123" t="s">
        <v>25</v>
      </c>
      <c r="L32" s="119" t="s">
        <v>82</v>
      </c>
      <c r="M32" s="120" t="s">
        <v>22</v>
      </c>
      <c r="N32" s="121" t="s">
        <v>23</v>
      </c>
      <c r="O32" s="122" t="s">
        <v>24</v>
      </c>
      <c r="P32" s="123" t="s">
        <v>25</v>
      </c>
      <c r="Q32" s="119" t="s">
        <v>82</v>
      </c>
      <c r="R32" s="120" t="s">
        <v>22</v>
      </c>
      <c r="S32" s="121" t="s">
        <v>23</v>
      </c>
      <c r="T32" s="122" t="s">
        <v>24</v>
      </c>
      <c r="U32" s="123" t="s">
        <v>25</v>
      </c>
      <c r="V32" s="119" t="s">
        <v>82</v>
      </c>
      <c r="W32" s="120" t="s">
        <v>22</v>
      </c>
      <c r="X32" s="121" t="s">
        <v>23</v>
      </c>
      <c r="Y32" s="122" t="s">
        <v>24</v>
      </c>
      <c r="Z32" s="123" t="s">
        <v>25</v>
      </c>
    </row>
    <row r="33" spans="1:26" ht="15.6" x14ac:dyDescent="0.25">
      <c r="A33" s="124" t="s">
        <v>37</v>
      </c>
      <c r="B33" s="125">
        <v>730669.56764479354</v>
      </c>
      <c r="C33" s="125">
        <v>991741.89912305819</v>
      </c>
      <c r="D33" s="103">
        <v>281798.03407970793</v>
      </c>
      <c r="E33" s="103">
        <v>146117.49915244099</v>
      </c>
      <c r="F33" s="103"/>
      <c r="G33" s="103">
        <v>125550.37809575337</v>
      </c>
      <c r="H33" s="103">
        <v>170410.23182291794</v>
      </c>
      <c r="I33" s="103">
        <v>48421.134931606772</v>
      </c>
      <c r="J33" s="103">
        <v>25107.255149722005</v>
      </c>
      <c r="K33" s="103"/>
      <c r="L33" s="103">
        <v>812123.77720340434</v>
      </c>
      <c r="M33" s="103">
        <v>1102300.1542582926</v>
      </c>
      <c r="N33" s="103">
        <v>313212.55733010249</v>
      </c>
      <c r="O33" s="103">
        <v>162406.51120820112</v>
      </c>
      <c r="P33" s="103"/>
      <c r="Q33" s="103">
        <v>129712.1827257066</v>
      </c>
      <c r="R33" s="103">
        <v>176059.07257153859</v>
      </c>
      <c r="S33" s="103">
        <v>50026.222121326413</v>
      </c>
      <c r="T33" s="103">
        <v>25939.522581428482</v>
      </c>
      <c r="U33" s="103"/>
      <c r="V33" s="103">
        <v>14859.558970647004</v>
      </c>
      <c r="W33" s="103">
        <v>20168.962669654644</v>
      </c>
      <c r="X33" s="103">
        <v>5730.9003832159979</v>
      </c>
      <c r="Y33" s="103">
        <v>2971.577976482366</v>
      </c>
      <c r="Z33" s="103"/>
    </row>
    <row r="34" spans="1:26" ht="15.6" x14ac:dyDescent="0.25">
      <c r="A34" s="124" t="s">
        <v>35</v>
      </c>
      <c r="B34" s="125">
        <v>0</v>
      </c>
      <c r="C34" s="125">
        <v>171018.31476874364</v>
      </c>
      <c r="D34" s="103">
        <v>364600.3415934291</v>
      </c>
      <c r="E34" s="103">
        <v>63219.343637827304</v>
      </c>
      <c r="F34" s="103">
        <v>0</v>
      </c>
      <c r="G34" s="103">
        <v>0</v>
      </c>
      <c r="H34" s="103">
        <v>0</v>
      </c>
      <c r="I34" s="103">
        <v>28366.085366556603</v>
      </c>
      <c r="J34" s="103">
        <v>1406.9146334433976</v>
      </c>
      <c r="K34" s="103">
        <v>0</v>
      </c>
      <c r="L34" s="103">
        <v>0</v>
      </c>
      <c r="M34" s="103">
        <v>505803.12820512825</v>
      </c>
      <c r="N34" s="110">
        <v>92902.61538461539</v>
      </c>
      <c r="O34" s="110">
        <v>0</v>
      </c>
      <c r="P34" s="125">
        <v>0</v>
      </c>
      <c r="Q34" s="103"/>
      <c r="R34" s="103"/>
      <c r="S34" s="103"/>
      <c r="T34" s="103"/>
      <c r="U34" s="103"/>
      <c r="V34" s="103"/>
      <c r="W34" s="103"/>
      <c r="X34" s="103"/>
      <c r="Y34" s="103"/>
      <c r="Z34" s="103"/>
    </row>
    <row r="35" spans="1:26" ht="15.6" x14ac:dyDescent="0.3">
      <c r="A35" s="124" t="s">
        <v>36</v>
      </c>
      <c r="B35" s="126">
        <v>102963</v>
      </c>
      <c r="C35" s="127">
        <v>1047364</v>
      </c>
      <c r="D35" s="103">
        <v>991098</v>
      </c>
      <c r="E35" s="103">
        <v>8902</v>
      </c>
      <c r="F35" s="103">
        <v>0</v>
      </c>
      <c r="G35" s="103">
        <v>0</v>
      </c>
      <c r="H35" s="103">
        <v>124231</v>
      </c>
      <c r="I35" s="103">
        <v>220188</v>
      </c>
      <c r="J35" s="103">
        <v>25070</v>
      </c>
      <c r="K35" s="103">
        <v>0</v>
      </c>
      <c r="L35" s="103">
        <v>543943</v>
      </c>
      <c r="M35" s="103">
        <v>1619767</v>
      </c>
      <c r="N35" s="128">
        <v>226333</v>
      </c>
      <c r="O35" s="110">
        <v>0</v>
      </c>
      <c r="P35" s="126">
        <v>0</v>
      </c>
      <c r="Q35" s="103">
        <v>121955</v>
      </c>
      <c r="R35" s="103">
        <v>257462</v>
      </c>
      <c r="S35" s="103">
        <v>2320</v>
      </c>
      <c r="T35" s="103">
        <v>0</v>
      </c>
      <c r="U35" s="103">
        <v>0</v>
      </c>
      <c r="V35" s="103">
        <v>0</v>
      </c>
      <c r="W35" s="103">
        <v>17642</v>
      </c>
      <c r="X35" s="103">
        <v>25020</v>
      </c>
      <c r="Y35" s="103">
        <v>1069</v>
      </c>
      <c r="Z35" s="103">
        <v>0</v>
      </c>
    </row>
    <row r="36" spans="1:26" ht="15.6" x14ac:dyDescent="0.25">
      <c r="A36" s="124" t="s">
        <v>39</v>
      </c>
      <c r="B36" s="125"/>
      <c r="C36" s="125">
        <v>146479.0105184422</v>
      </c>
      <c r="D36" s="103">
        <v>559241.41128589364</v>
      </c>
      <c r="E36" s="103">
        <v>310253.47799243475</v>
      </c>
      <c r="F36" s="103"/>
      <c r="G36" s="103"/>
      <c r="H36" s="103">
        <v>7540.8690315697158</v>
      </c>
      <c r="I36" s="103">
        <v>710.17331847194544</v>
      </c>
      <c r="J36" s="103">
        <v>19565.354898153953</v>
      </c>
      <c r="K36" s="103"/>
      <c r="L36" s="103"/>
      <c r="M36" s="103">
        <v>22981.182692307761</v>
      </c>
      <c r="N36" s="110">
        <v>0</v>
      </c>
      <c r="O36" s="110">
        <v>45962.365384615521</v>
      </c>
      <c r="P36" s="125"/>
      <c r="Q36" s="103"/>
      <c r="R36" s="103"/>
      <c r="S36" s="103"/>
      <c r="T36" s="103">
        <v>6776.3964497041452</v>
      </c>
      <c r="U36" s="103"/>
      <c r="V36" s="103"/>
      <c r="W36" s="103">
        <v>624.72857142857458</v>
      </c>
      <c r="X36" s="103">
        <v>0</v>
      </c>
      <c r="Y36" s="103">
        <v>208.24285714285818</v>
      </c>
      <c r="Z36" s="103"/>
    </row>
    <row r="37" spans="1:26" ht="15.6" x14ac:dyDescent="0.3">
      <c r="A37" s="124" t="s">
        <v>38</v>
      </c>
      <c r="B37" s="140">
        <v>0</v>
      </c>
      <c r="C37" s="140">
        <v>1478290.4700861834</v>
      </c>
      <c r="D37" s="141">
        <v>481966.11865541543</v>
      </c>
      <c r="E37" s="141">
        <v>39519.107585218269</v>
      </c>
      <c r="F37" s="141">
        <v>150551.30367318279</v>
      </c>
      <c r="G37" s="141">
        <v>24964.7384824084</v>
      </c>
      <c r="H37" s="141">
        <v>219614.51342561573</v>
      </c>
      <c r="I37" s="141">
        <v>78583.651695116307</v>
      </c>
      <c r="J37" s="141">
        <v>15956.447472404241</v>
      </c>
      <c r="K37" s="141">
        <v>30369.64892445536</v>
      </c>
      <c r="L37" s="141">
        <v>452418.13836570352</v>
      </c>
      <c r="M37" s="141">
        <v>1404003.4676644923</v>
      </c>
      <c r="N37" s="140">
        <v>266810.69698490202</v>
      </c>
      <c r="O37" s="140">
        <v>116004.65086300092</v>
      </c>
      <c r="P37" s="142">
        <v>150806.04612190119</v>
      </c>
      <c r="Q37" s="141">
        <v>313973.03550295858</v>
      </c>
      <c r="R37" s="141">
        <v>49693.573964497053</v>
      </c>
      <c r="S37" s="141">
        <v>11293.994082840243</v>
      </c>
      <c r="T37" s="141">
        <v>2258.7988165680486</v>
      </c>
      <c r="U37" s="141">
        <v>4517.5976331360971</v>
      </c>
      <c r="V37" s="141">
        <v>24156.17142857143</v>
      </c>
      <c r="W37" s="141">
        <v>5830.8</v>
      </c>
      <c r="X37" s="141">
        <v>4164.8571428571422</v>
      </c>
      <c r="Y37" s="141">
        <v>3123.6428571428569</v>
      </c>
      <c r="Z37" s="141">
        <v>6455.5285714285719</v>
      </c>
    </row>
    <row r="38" spans="1:26" ht="15.6" x14ac:dyDescent="0.25">
      <c r="A38" s="124" t="s">
        <v>105</v>
      </c>
      <c r="B38" s="125">
        <v>579575.70556727261</v>
      </c>
      <c r="C38" s="125">
        <v>433611.63568249496</v>
      </c>
      <c r="D38" s="125">
        <v>817526.58981951443</v>
      </c>
      <c r="E38" s="125">
        <v>296835.17807939771</v>
      </c>
      <c r="F38" s="125">
        <v>22777.89085132016</v>
      </c>
      <c r="G38" s="125">
        <v>257427.57668094954</v>
      </c>
      <c r="H38" s="125">
        <v>62914.158283182769</v>
      </c>
      <c r="I38" s="125">
        <v>37089.804278180025</v>
      </c>
      <c r="J38" s="125">
        <v>11332.59638921535</v>
      </c>
      <c r="K38" s="125">
        <v>724.86436847230675</v>
      </c>
      <c r="L38" s="125">
        <v>1726627.6269290126</v>
      </c>
      <c r="M38" s="125">
        <v>319183.98994963884</v>
      </c>
      <c r="N38" s="125">
        <v>185505.6169187162</v>
      </c>
      <c r="O38" s="125">
        <v>131988.79310361066</v>
      </c>
      <c r="P38" s="125">
        <v>26736.973099021579</v>
      </c>
      <c r="Q38" s="103">
        <v>320999.31648856809</v>
      </c>
      <c r="R38" s="103">
        <v>35941.309493686123</v>
      </c>
      <c r="S38" s="103">
        <v>19453.606131924833</v>
      </c>
      <c r="T38" s="103">
        <v>5341.8680716410927</v>
      </c>
      <c r="U38" s="103">
        <v>0.89981417986930878</v>
      </c>
      <c r="V38" s="103">
        <v>9745.6512077795414</v>
      </c>
      <c r="W38" s="103">
        <v>6916.5689228427118</v>
      </c>
      <c r="X38" s="103">
        <v>2558.887250289356</v>
      </c>
      <c r="Y38" s="103">
        <v>270.18385787577165</v>
      </c>
      <c r="Z38" s="103">
        <v>1.1176771701491818E-2</v>
      </c>
    </row>
    <row r="39" spans="1:26" x14ac:dyDescent="0.25">
      <c r="A39" s="129"/>
      <c r="B39" s="129"/>
      <c r="C39" s="129"/>
      <c r="D39" s="130"/>
      <c r="E39" s="130"/>
      <c r="F39" s="130"/>
      <c r="G39" s="130"/>
      <c r="H39" s="130"/>
      <c r="I39" s="130"/>
      <c r="J39" s="130"/>
      <c r="K39" s="130"/>
      <c r="L39" s="130"/>
      <c r="M39" s="130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</row>
    <row r="40" spans="1:26" x14ac:dyDescent="0.25">
      <c r="J40" s="131"/>
      <c r="K40" s="131"/>
      <c r="O40" s="132"/>
      <c r="P40" s="133"/>
    </row>
    <row r="41" spans="1:26" x14ac:dyDescent="0.25">
      <c r="J41" s="95"/>
      <c r="O41" s="95"/>
    </row>
    <row r="44" spans="1:26" ht="17.399999999999999" x14ac:dyDescent="0.3">
      <c r="J44" s="134"/>
    </row>
    <row r="58" spans="6:6" x14ac:dyDescent="0.25">
      <c r="F58" s="116"/>
    </row>
    <row r="59" spans="6:6" x14ac:dyDescent="0.25">
      <c r="F59" s="116"/>
    </row>
    <row r="60" spans="6:6" x14ac:dyDescent="0.25">
      <c r="F60" s="116"/>
    </row>
    <row r="61" spans="6:6" x14ac:dyDescent="0.25">
      <c r="F61" s="116"/>
    </row>
    <row r="62" spans="6:6" x14ac:dyDescent="0.25">
      <c r="F62" s="116"/>
    </row>
    <row r="68" spans="3:3" x14ac:dyDescent="0.25">
      <c r="C68" s="116"/>
    </row>
    <row r="69" spans="3:3" x14ac:dyDescent="0.25">
      <c r="C69" s="116"/>
    </row>
    <row r="70" spans="3:3" x14ac:dyDescent="0.25">
      <c r="C70" s="116"/>
    </row>
    <row r="71" spans="3:3" x14ac:dyDescent="0.25">
      <c r="C71" s="116"/>
    </row>
    <row r="72" spans="3:3" x14ac:dyDescent="0.25">
      <c r="C72" s="116"/>
    </row>
    <row r="73" spans="3:3" x14ac:dyDescent="0.25">
      <c r="C73" s="116"/>
    </row>
  </sheetData>
  <mergeCells count="5">
    <mergeCell ref="B31:F31"/>
    <mergeCell ref="G31:K31"/>
    <mergeCell ref="L31:P31"/>
    <mergeCell ref="Q31:U31"/>
    <mergeCell ref="V31:Z3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6135625EDE924B8C759341E8045347" ma:contentTypeVersion="14" ma:contentTypeDescription="Create a new document." ma:contentTypeScope="" ma:versionID="04b7b3b0caa169ac79ba92a0ed60e378">
  <xsd:schema xmlns:xsd="http://www.w3.org/2001/XMLSchema" xmlns:xs="http://www.w3.org/2001/XMLSchema" xmlns:p="http://schemas.microsoft.com/office/2006/metadata/properties" xmlns:ns3="31eeb98e-90e3-4d81-af45-df7da42028c0" xmlns:ns4="216f5fd1-64b5-46a6-a50d-1afd4873157f" targetNamespace="http://schemas.microsoft.com/office/2006/metadata/properties" ma:root="true" ma:fieldsID="4cacac078a496d3df7c17e710565747f" ns3:_="" ns4:_="">
    <xsd:import namespace="31eeb98e-90e3-4d81-af45-df7da42028c0"/>
    <xsd:import namespace="216f5fd1-64b5-46a6-a50d-1afd4873157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eeb98e-90e3-4d81-af45-df7da42028c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f5fd1-64b5-46a6-a50d-1afd487315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6CF653-59A8-447A-A5E9-CCC219E577E4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schemas.microsoft.com/office/2006/documentManagement/types"/>
    <ds:schemaRef ds:uri="216f5fd1-64b5-46a6-a50d-1afd4873157f"/>
    <ds:schemaRef ds:uri="31eeb98e-90e3-4d81-af45-df7da42028c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59E83C4-10F2-4B4B-8B97-0562AD8195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6FD7D9-6CD7-437A-A815-8953A10C95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eeb98e-90e3-4d81-af45-df7da42028c0"/>
    <ds:schemaRef ds:uri="216f5fd1-64b5-46a6-a50d-1afd487315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PIN_Geography_Severity</vt:lpstr>
      <vt:lpstr>PIN_Geography_Hum_condition</vt:lpstr>
      <vt:lpstr>PIN_hum_condition_Indicator</vt:lpstr>
      <vt:lpstr>PIN by strate_demoGroup</vt:lpstr>
      <vt:lpstr>PIN Geography_Gender</vt:lpstr>
      <vt:lpstr>Cluster_PIN_Severity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LocalAdmin</dc:creator>
  <cp:keywords/>
  <dc:description/>
  <cp:lastModifiedBy>Mety</cp:lastModifiedBy>
  <cp:revision/>
  <dcterms:created xsi:type="dcterms:W3CDTF">2021-10-15T07:10:38Z</dcterms:created>
  <dcterms:modified xsi:type="dcterms:W3CDTF">2021-11-15T12:41:02Z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0x0101000E6135625EDE924B8C759341E8045347</vt:lpwstr>
  </property>
</Properties>
</file>